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LaurentDavoust\Downloads\"/>
    </mc:Choice>
  </mc:AlternateContent>
  <xr:revisionPtr revIDLastSave="0" documentId="8_{86AC5BCC-DCEE-43BD-B32E-3BAFDCE9190D}" xr6:coauthVersionLast="47" xr6:coauthVersionMax="47" xr10:uidLastSave="{00000000-0000-0000-0000-000000000000}"/>
  <bookViews>
    <workbookView xWindow="-110" yWindow="-110" windowWidth="19420" windowHeight="11500" firstSheet="3" activeTab="3" xr2:uid="{F0AC95B7-5355-454A-847E-9077C0E36D28}"/>
  </bookViews>
  <sheets>
    <sheet name="Swap" sheetId="1" r:id="rId1"/>
    <sheet name="Options" sheetId="3" r:id="rId2"/>
    <sheet name="Autocall" sheetId="4" r:id="rId3"/>
    <sheet name="Notes structurées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5" l="1"/>
  <c r="A4" i="5"/>
  <c r="A3" i="5"/>
  <c r="A2" i="5"/>
  <c r="F3" i="4"/>
  <c r="C3" i="4"/>
  <c r="D3" i="4" s="1"/>
  <c r="F2" i="4"/>
  <c r="A2" i="3"/>
  <c r="A2" i="4" s="1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3" i="1"/>
  <c r="A3" i="3" s="1"/>
  <c r="A4" i="1" l="1"/>
  <c r="C4" i="4"/>
  <c r="A5" i="1" l="1"/>
  <c r="A4" i="3"/>
  <c r="C5" i="4"/>
  <c r="D4" i="4"/>
  <c r="D5" i="4" s="1"/>
  <c r="F4" i="4"/>
  <c r="A6" i="1" l="1"/>
  <c r="A6" i="3" s="1"/>
  <c r="A7" i="3" s="1"/>
  <c r="A5" i="3"/>
  <c r="C6" i="4"/>
  <c r="F5" i="4"/>
  <c r="C7" i="4" l="1"/>
  <c r="F6" i="4"/>
  <c r="D6" i="4"/>
  <c r="D7" i="4" s="1"/>
  <c r="D8" i="4" l="1"/>
  <c r="C8" i="4"/>
  <c r="F7" i="4"/>
  <c r="C9" i="4" l="1"/>
  <c r="F8" i="4"/>
  <c r="C10" i="4" l="1"/>
  <c r="F9" i="4"/>
  <c r="D9" i="4"/>
  <c r="D10" i="4" l="1"/>
  <c r="C11" i="4"/>
  <c r="F10" i="4"/>
  <c r="C12" i="4" l="1"/>
  <c r="F11" i="4"/>
  <c r="D11" i="4"/>
  <c r="D12" i="4" s="1"/>
  <c r="C13" i="4" l="1"/>
  <c r="F12" i="4"/>
  <c r="C14" i="4" l="1"/>
  <c r="F13" i="4"/>
  <c r="D13" i="4"/>
  <c r="D14" i="4" s="1"/>
  <c r="C15" i="4" l="1"/>
  <c r="F14" i="4"/>
  <c r="C16" i="4" l="1"/>
  <c r="F15" i="4"/>
  <c r="D15" i="4"/>
  <c r="D16" i="4" s="1"/>
  <c r="C17" i="4" l="1"/>
  <c r="F16" i="4"/>
  <c r="C18" i="4" l="1"/>
  <c r="F17" i="4"/>
  <c r="D17" i="4"/>
  <c r="D18" i="4" s="1"/>
  <c r="C19" i="4" l="1"/>
  <c r="F18" i="4"/>
  <c r="C20" i="4" l="1"/>
  <c r="F19" i="4"/>
  <c r="D19" i="4"/>
  <c r="D20" i="4" s="1"/>
  <c r="C21" i="4" l="1"/>
  <c r="F20" i="4"/>
  <c r="C22" i="4" l="1"/>
  <c r="F21" i="4"/>
  <c r="D21" i="4"/>
  <c r="D22" i="4" s="1"/>
  <c r="C23" i="4" l="1"/>
  <c r="F22" i="4"/>
  <c r="C24" i="4" l="1"/>
  <c r="F23" i="4"/>
  <c r="D23" i="4"/>
  <c r="D24" i="4" l="1"/>
  <c r="C25" i="4"/>
  <c r="F24" i="4"/>
  <c r="C26" i="4" l="1"/>
  <c r="F25" i="4"/>
  <c r="D25" i="4"/>
  <c r="D26" i="4" s="1"/>
  <c r="C27" i="4" l="1"/>
  <c r="F26" i="4"/>
  <c r="C28" i="4" l="1"/>
  <c r="F27" i="4"/>
  <c r="D27" i="4"/>
  <c r="D28" i="4" s="1"/>
  <c r="C29" i="4" l="1"/>
  <c r="F28" i="4"/>
  <c r="C30" i="4" l="1"/>
  <c r="F29" i="4"/>
  <c r="D29" i="4"/>
  <c r="D30" i="4" l="1"/>
  <c r="C31" i="4"/>
  <c r="F30" i="4"/>
  <c r="D31" i="4" l="1"/>
  <c r="C32" i="4"/>
  <c r="F31" i="4"/>
  <c r="C33" i="4" l="1"/>
  <c r="F32" i="4"/>
  <c r="D32" i="4"/>
  <c r="D33" i="4" l="1"/>
  <c r="C34" i="4"/>
  <c r="F33" i="4"/>
  <c r="C35" i="4" l="1"/>
  <c r="F34" i="4"/>
  <c r="D34" i="4"/>
  <c r="D35" i="4" s="1"/>
  <c r="C36" i="4" l="1"/>
  <c r="F35" i="4"/>
  <c r="C37" i="4" l="1"/>
  <c r="F36" i="4"/>
  <c r="D36" i="4"/>
  <c r="D37" i="4" s="1"/>
  <c r="C38" i="4" l="1"/>
  <c r="F37" i="4"/>
  <c r="C39" i="4" l="1"/>
  <c r="F38" i="4"/>
  <c r="D38" i="4"/>
  <c r="D39" i="4" s="1"/>
  <c r="C40" i="4" l="1"/>
  <c r="F39" i="4"/>
  <c r="C41" i="4" l="1"/>
  <c r="F40" i="4"/>
  <c r="D40" i="4"/>
  <c r="D41" i="4" s="1"/>
  <c r="C42" i="4" l="1"/>
  <c r="F41" i="4"/>
  <c r="C43" i="4" l="1"/>
  <c r="F42" i="4"/>
  <c r="D42" i="4"/>
  <c r="D43" i="4" s="1"/>
  <c r="C44" i="4" l="1"/>
  <c r="F43" i="4"/>
  <c r="C45" i="4" l="1"/>
  <c r="F44" i="4"/>
  <c r="D44" i="4"/>
  <c r="D45" i="4" s="1"/>
  <c r="C46" i="4" l="1"/>
  <c r="F45" i="4"/>
  <c r="C47" i="4" l="1"/>
  <c r="F46" i="4"/>
  <c r="D46" i="4"/>
  <c r="D47" i="4" s="1"/>
  <c r="C48" i="4" l="1"/>
  <c r="F47" i="4"/>
  <c r="F48" i="4" l="1"/>
  <c r="C49" i="4"/>
  <c r="D48" i="4"/>
  <c r="D49" i="4" s="1"/>
  <c r="C50" i="4" l="1"/>
  <c r="F49" i="4"/>
  <c r="C51" i="4" l="1"/>
  <c r="F50" i="4"/>
  <c r="D50" i="4"/>
  <c r="D51" i="4" s="1"/>
  <c r="C52" i="4" l="1"/>
  <c r="F51" i="4"/>
  <c r="C53" i="4" l="1"/>
  <c r="F52" i="4"/>
  <c r="D52" i="4"/>
  <c r="D53" i="4" s="1"/>
  <c r="C54" i="4" l="1"/>
  <c r="F53" i="4"/>
  <c r="C55" i="4" l="1"/>
  <c r="F54" i="4"/>
  <c r="D54" i="4"/>
  <c r="C56" i="4" l="1"/>
  <c r="F55" i="4"/>
  <c r="D55" i="4"/>
  <c r="D56" i="4" s="1"/>
  <c r="C57" i="4" l="1"/>
  <c r="F56" i="4"/>
  <c r="C58" i="4" l="1"/>
  <c r="F57" i="4"/>
  <c r="D57" i="4"/>
  <c r="D58" i="4" l="1"/>
  <c r="C59" i="4"/>
  <c r="F58" i="4"/>
  <c r="C60" i="4" l="1"/>
  <c r="F59" i="4"/>
  <c r="D59" i="4"/>
  <c r="D60" i="4" s="1"/>
  <c r="C61" i="4" l="1"/>
  <c r="F60" i="4"/>
  <c r="C62" i="4" l="1"/>
  <c r="F61" i="4"/>
  <c r="D61" i="4"/>
  <c r="D62" i="4" s="1"/>
  <c r="C63" i="4" l="1"/>
  <c r="F62" i="4"/>
  <c r="C64" i="4" l="1"/>
  <c r="F63" i="4"/>
  <c r="D63" i="4"/>
  <c r="D64" i="4" l="1"/>
  <c r="F64" i="4"/>
  <c r="C65" i="4"/>
  <c r="C66" i="4" l="1"/>
  <c r="F65" i="4"/>
  <c r="D65" i="4"/>
  <c r="D66" i="4" s="1"/>
  <c r="C67" i="4" l="1"/>
  <c r="F66" i="4"/>
  <c r="C68" i="4" l="1"/>
  <c r="F67" i="4"/>
  <c r="D67" i="4"/>
  <c r="D68" i="4" s="1"/>
  <c r="C69" i="4" l="1"/>
  <c r="F68" i="4"/>
  <c r="C70" i="4" l="1"/>
  <c r="F69" i="4"/>
  <c r="D69" i="4"/>
  <c r="D70" i="4" s="1"/>
  <c r="C71" i="4" l="1"/>
  <c r="F70" i="4"/>
  <c r="C72" i="4" l="1"/>
  <c r="F71" i="4"/>
  <c r="D71" i="4"/>
  <c r="D72" i="4" s="1"/>
  <c r="C73" i="4" l="1"/>
  <c r="F72" i="4"/>
  <c r="C74" i="4" l="1"/>
  <c r="F73" i="4"/>
  <c r="D73" i="4"/>
  <c r="D74" i="4" s="1"/>
  <c r="C75" i="4" l="1"/>
  <c r="F74" i="4"/>
  <c r="C76" i="4" l="1"/>
  <c r="F75" i="4"/>
  <c r="D75" i="4"/>
  <c r="D76" i="4" s="1"/>
  <c r="C77" i="4" l="1"/>
  <c r="F76" i="4"/>
  <c r="C78" i="4" l="1"/>
  <c r="F77" i="4"/>
  <c r="D77" i="4"/>
  <c r="D78" i="4" s="1"/>
  <c r="C79" i="4" l="1"/>
  <c r="F78" i="4"/>
  <c r="C80" i="4" l="1"/>
  <c r="F79" i="4"/>
  <c r="D79" i="4"/>
  <c r="D80" i="4" s="1"/>
  <c r="C81" i="4" l="1"/>
  <c r="F80" i="4"/>
  <c r="C82" i="4" l="1"/>
  <c r="F81" i="4"/>
  <c r="D81" i="4"/>
  <c r="D82" i="4" s="1"/>
  <c r="C83" i="4" l="1"/>
  <c r="F82" i="4"/>
  <c r="C84" i="4" l="1"/>
  <c r="F83" i="4"/>
  <c r="D83" i="4"/>
  <c r="D84" i="4" s="1"/>
  <c r="C85" i="4" l="1"/>
  <c r="F84" i="4"/>
  <c r="C86" i="4" l="1"/>
  <c r="F85" i="4"/>
  <c r="D85" i="4"/>
  <c r="D86" i="4" s="1"/>
  <c r="C87" i="4" l="1"/>
  <c r="F86" i="4"/>
  <c r="C88" i="4" l="1"/>
  <c r="F87" i="4"/>
  <c r="D87" i="4"/>
  <c r="D88" i="4" s="1"/>
  <c r="C89" i="4" l="1"/>
  <c r="F88" i="4"/>
  <c r="C90" i="4" l="1"/>
  <c r="F89" i="4"/>
  <c r="D89" i="4"/>
  <c r="D90" i="4" s="1"/>
  <c r="C91" i="4" l="1"/>
  <c r="F90" i="4"/>
  <c r="C92" i="4" l="1"/>
  <c r="F91" i="4"/>
  <c r="D91" i="4"/>
  <c r="D92" i="4" s="1"/>
  <c r="C93" i="4" l="1"/>
  <c r="F92" i="4"/>
  <c r="C94" i="4" l="1"/>
  <c r="F93" i="4"/>
  <c r="D93" i="4"/>
  <c r="D94" i="4" s="1"/>
  <c r="C95" i="4" l="1"/>
  <c r="F94" i="4"/>
  <c r="C96" i="4" l="1"/>
  <c r="F95" i="4"/>
  <c r="D95" i="4"/>
  <c r="D96" i="4" s="1"/>
  <c r="C97" i="4" l="1"/>
  <c r="F97" i="4" s="1"/>
  <c r="F96" i="4"/>
  <c r="D97" i="4" l="1"/>
</calcChain>
</file>

<file path=xl/sharedStrings.xml><?xml version="1.0" encoding="utf-8"?>
<sst xmlns="http://schemas.openxmlformats.org/spreadsheetml/2006/main" count="168" uniqueCount="41">
  <si>
    <t>Date Valorisation</t>
  </si>
  <si>
    <t>Devise</t>
  </si>
  <si>
    <t>Maturité</t>
  </si>
  <si>
    <t>Fréquence fixe</t>
  </si>
  <si>
    <t>Nominal</t>
  </si>
  <si>
    <t>Taux fixe</t>
  </si>
  <si>
    <t>Taux Variable 1</t>
  </si>
  <si>
    <t>Taux variable 2</t>
  </si>
  <si>
    <t>EUR</t>
  </si>
  <si>
    <t>3M</t>
  </si>
  <si>
    <t>6M</t>
  </si>
  <si>
    <t>Produit</t>
  </si>
  <si>
    <t>Quantité</t>
  </si>
  <si>
    <t>Sous jacent</t>
  </si>
  <si>
    <t>Strike 1</t>
  </si>
  <si>
    <t>Strike 2</t>
  </si>
  <si>
    <t>Strike 3</t>
  </si>
  <si>
    <t>Type Barrière</t>
  </si>
  <si>
    <t>Niveau Barrière</t>
  </si>
  <si>
    <t>Call Spread</t>
  </si>
  <si>
    <t>AAPL</t>
  </si>
  <si>
    <t>Put Spread</t>
  </si>
  <si>
    <t>Butterfly</t>
  </si>
  <si>
    <t>Call</t>
  </si>
  <si>
    <t>OUT</t>
  </si>
  <si>
    <t>Put</t>
  </si>
  <si>
    <t>IN</t>
  </si>
  <si>
    <t>ID Produit</t>
  </si>
  <si>
    <t>Date Observation</t>
  </si>
  <si>
    <t>Niveau de rappel</t>
  </si>
  <si>
    <t>Date Référence</t>
  </si>
  <si>
    <t>Coupon</t>
  </si>
  <si>
    <t>Sous Jacent</t>
  </si>
  <si>
    <t>Date valorisation</t>
  </si>
  <si>
    <t>Code produit SSPA</t>
  </si>
  <si>
    <t>Taux de participation</t>
  </si>
  <si>
    <t>Devise taux</t>
  </si>
  <si>
    <t>Barrière 1</t>
  </si>
  <si>
    <t>Cap</t>
  </si>
  <si>
    <t>Barrière 2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</si>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</sst>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0" applyNumberFormat="1"/>
    <xf numFmtId="164" fontId="0" fillId="0" borderId="0" xfId="1" applyFont="1"/>
    <xf numFmtId="0" fontId="2" fillId="2" borderId="1" xfId="0" applyFont="1" applyFill="1" applyBorder="1"/>
    <xf numFmtId="0" fontId="2" fillId="2" borderId="2" xfId="0" applyFont="1" applyFill="1" applyBorder="1"/>
    <xf numFmtId="9" fontId="0" fillId="0" borderId="0" xfId="2" applyFont="1"/>
  </cellXfs>
  <cellStyles count="3">
    <cellStyle name="Milliers" xfId="1" builtinId="3"/>
    <cellStyle name="Normal" xfId="0" builtinId="0"/>
    <cellStyle name="Pourcentage" xfId="2" builtinId="5"/>
  </cellStyles>
  <dxfs count="15">
    <dxf>
      <numFmt numFmtId="165" formatCode="dd/mm/yyyy"/>
    </dxf>
    <dxf>
      <numFmt numFmtId="165" formatCode="dd/mm/yyyy"/>
    </dxf>
    <dxf>
      <numFmt numFmtId="13" formatCode="0%"/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dd/mm/yyyy"/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dd/mm/yyyy"/>
    </dxf>
    <dxf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5" formatCode="dd/mm/yyyy"/>
    </dxf>
    <dxf>
      <numFmt numFmtId="165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9C6BB-EED7-4174-B7BA-53120DB1A207}" name="Table1" displayName="Table1" ref="A1:H6" totalsRowShown="0">
  <autoFilter ref="A1:H6" xr:uid="{4989C6BB-EED7-4174-B7BA-53120DB1A207}"/>
  <tableColumns count="8">
    <tableColumn id="1" xr3:uid="{C7B96425-A32F-4FC3-A99A-B615F05020C4}" name="Date Valorisation" dataDxfId="14">
      <calculatedColumnFormula>A1</calculatedColumnFormula>
    </tableColumn>
    <tableColumn id="3" xr3:uid="{181A98B7-AD54-4BE4-8A9E-62FE814C2412}" name="Devise"/>
    <tableColumn id="4" xr3:uid="{FA568000-682F-450F-99F7-A28955B046B5}" name="Maturité" dataDxfId="13"/>
    <tableColumn id="5" xr3:uid="{4E10469E-B610-4DA6-A476-5F48E30E6482}" name="Fréquence fixe"/>
    <tableColumn id="6" xr3:uid="{DF4F215D-5556-4310-8DBE-96C65C59B2F2}" name="Nominal" dataDxfId="12"/>
    <tableColumn id="7" xr3:uid="{E93C7A20-320A-4115-BB00-BFC5BC08F171}" name="Taux fixe" dataDxfId="11"/>
    <tableColumn id="8" xr3:uid="{9F9A2D6E-A717-4090-AF76-9C9F02F2575A}" name="Taux Variable 1"/>
    <tableColumn id="9" xr3:uid="{EE7C03E1-4F51-4EC1-BA30-17A7ABE80403}" name="Taux variable 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E1D11F-BBA0-49F2-BD9B-2121CEF19A45}" name="Table2" displayName="Table2" ref="A1:J7" totalsRowShown="0">
  <autoFilter ref="A1:J7" xr:uid="{DAE1D11F-BBA0-49F2-BD9B-2121CEF19A45}"/>
  <tableColumns count="10">
    <tableColumn id="1" xr3:uid="{74301562-F7B5-40EC-A280-E16FDD8D338B}" name="Date Valorisation" dataDxfId="10"/>
    <tableColumn id="2" xr3:uid="{E9CC7290-85D3-42C2-A622-D2043854AA0B}" name="Produit"/>
    <tableColumn id="3" xr3:uid="{11DEBE0C-8C63-4C75-9C1B-59032E71324B}" name="Quantité" dataDxfId="9"/>
    <tableColumn id="4" xr3:uid="{18AC9EA1-9780-499A-A3B8-1F4175443289}" name="Sous jacent"/>
    <tableColumn id="5" xr3:uid="{DD553214-001A-4704-835F-2FE96C4ECAF3}" name="Maturité" dataDxfId="8"/>
    <tableColumn id="6" xr3:uid="{4521CBC4-F00F-41C9-91EA-53C2561E01FF}" name="Strike 1" dataDxfId="7"/>
    <tableColumn id="7" xr3:uid="{5269F653-C54A-4FF9-A20D-CBDD62CB88D4}" name="Strike 2"/>
    <tableColumn id="8" xr3:uid="{EAC5E5A4-C3E7-4E95-B547-7D90BA830328}" name="Strike 3"/>
    <tableColumn id="9" xr3:uid="{31F7F003-8859-47EA-BDDA-CA5E1675112E}" name="Type Barrière"/>
    <tableColumn id="10" xr3:uid="{8579B7EC-93CB-47DD-8BB3-0BD10A811FFD}" name="Niveau Barriè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8822A6-1772-4D94-A2B9-9C695D09E256}" name="Table3" displayName="Table3" ref="A1:G97" totalsRowShown="0">
  <autoFilter ref="A1:G97" xr:uid="{2A8822A6-1772-4D94-A2B9-9C695D09E256}"/>
  <tableColumns count="7">
    <tableColumn id="1" xr3:uid="{BCCBD327-4DA5-4445-8E2C-0CB446AC5334}" name="Date Valorisation" dataDxfId="6">
      <calculatedColumnFormula>A1</calculatedColumnFormula>
    </tableColumn>
    <tableColumn id="2" xr3:uid="{F31B0C85-1A31-4EC0-A736-CB0ABD499CDD}" name="ID Produit"/>
    <tableColumn id="3" xr3:uid="{FA37D67D-8A54-4189-8378-28F2C4741609}" name="Date Observation" dataDxfId="5">
      <calculatedColumnFormula>DATE(YEAR(C1),MONTH(C1)+2,1)-1</calculatedColumnFormula>
    </tableColumn>
    <tableColumn id="4" xr3:uid="{87C9545E-1036-4F36-ABD1-B299E00522B6}" name="Niveau de rappel" dataDxfId="4">
      <calculatedColumnFormula>IF(MONTH(C2)=2,D1-5%,D1)</calculatedColumnFormula>
    </tableColumn>
    <tableColumn id="5" xr3:uid="{12A79669-8CEA-48D5-9817-3D5BADF4477B}" name="Date Référence" dataDxfId="3"/>
    <tableColumn id="6" xr3:uid="{1787AEFA-8A4D-4D05-B8C8-BFB0B633028F}" name="Coupon" dataDxfId="2">
      <calculatedColumnFormula>8%*(C2-E2)/365</calculatedColumnFormula>
    </tableColumn>
    <tableColumn id="7" xr3:uid="{E5864482-5F84-4DC3-B985-9C56EF0CE6F3}" name="Sous Jace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45D9C-091B-403B-A94E-3E202B5A9C2D}" name="Table4" displayName="Table4" ref="A1:J5" totalsRowShown="0">
  <autoFilter ref="A1:J5" xr:uid="{C3745D9C-091B-403B-A94E-3E202B5A9C2D}"/>
  <tableColumns count="10">
    <tableColumn id="1" xr3:uid="{F36AB4D4-89C2-40B2-8A74-254F24B6EF49}" name="Date valorisation" dataDxfId="1">
      <calculatedColumnFormula>Table3[[#This Row],[Date Valorisation]]</calculatedColumnFormula>
    </tableColumn>
    <tableColumn id="2" xr3:uid="{76208FC8-53C5-4EAF-A3CB-6C183F6F64AF}" name="Code produit SSPA"/>
    <tableColumn id="3" xr3:uid="{1710EF91-A917-4059-80B4-FB6C9B0F877D}" name="Quantité"/>
    <tableColumn id="4" xr3:uid="{B7CF4462-2C6E-4CA6-BAAC-9F3156C58882}" name="Sous jacent"/>
    <tableColumn id="5" xr3:uid="{440FC308-E83E-404F-BD7B-2DFC0AC88590}" name="Taux de participation"/>
    <tableColumn id="6" xr3:uid="{251ED2DC-9A70-40AA-A764-27BF3E5FFB8E}" name="Devise taux"/>
    <tableColumn id="7" xr3:uid="{97A022B6-79A0-4516-AB42-7E3288A29F3C}" name="Maturité" dataDxfId="0"/>
    <tableColumn id="8" xr3:uid="{8875D8C2-738B-4FCE-8E97-4D0C906DB0F5}" name="Barrière 1"/>
    <tableColumn id="9" xr3:uid="{3FA77E3B-B185-4ACB-901C-016DED1960C6}" name="Cap"/>
    <tableColumn id="10" xr3:uid="{360C6CA7-F26D-43DE-833C-213766535986}" name="Barrière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6821F-2757-4DDE-AA64-8BDF1C904216}">
  <dimension ref="A1:H6"/>
  <sheetViews>
    <sheetView workbookViewId="0">
      <selection activeCell="G4" sqref="G4"/>
    </sheetView>
  </sheetViews>
  <sheetFormatPr defaultRowHeight="14.45"/>
  <cols>
    <col min="1" max="1" width="19.42578125" customWidth="1"/>
    <col min="2" max="2" width="8.85546875" customWidth="1"/>
    <col min="3" max="3" width="15.85546875" bestFit="1" customWidth="1"/>
    <col min="4" max="4" width="15.85546875" customWidth="1"/>
    <col min="5" max="5" width="15.140625" customWidth="1"/>
    <col min="6" max="6" width="12.5703125" customWidth="1"/>
    <col min="7" max="7" width="15.7109375" bestFit="1" customWidth="1"/>
    <col min="8" max="8" width="15.42578125" customWidth="1"/>
    <col min="9" max="9" width="15.140625" customWidth="1"/>
  </cols>
  <sheetData>
    <row r="1" spans="1:8">
      <c r="A1" s="4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46080</v>
      </c>
      <c r="B2" t="s">
        <v>8</v>
      </c>
      <c r="C2" s="1">
        <v>46387</v>
      </c>
      <c r="D2" t="s">
        <v>9</v>
      </c>
      <c r="E2" s="3">
        <v>1000000</v>
      </c>
      <c r="F2" s="2">
        <v>0.05</v>
      </c>
      <c r="G2" t="s">
        <v>9</v>
      </c>
    </row>
    <row r="3" spans="1:8">
      <c r="A3" s="1">
        <f>A2</f>
        <v>46080</v>
      </c>
      <c r="B3" t="s">
        <v>8</v>
      </c>
      <c r="C3" s="1">
        <v>46752</v>
      </c>
      <c r="D3" t="s">
        <v>10</v>
      </c>
      <c r="E3" s="3">
        <v>3000000</v>
      </c>
      <c r="F3" s="2">
        <v>7.0000000000000007E-2</v>
      </c>
      <c r="G3" t="s">
        <v>9</v>
      </c>
    </row>
    <row r="4" spans="1:8">
      <c r="A4" s="1">
        <f t="shared" ref="A4:A6" si="0">A3</f>
        <v>46080</v>
      </c>
      <c r="B4" t="s">
        <v>8</v>
      </c>
      <c r="C4" s="1">
        <v>46752</v>
      </c>
      <c r="D4" t="s">
        <v>10</v>
      </c>
      <c r="E4" s="3">
        <v>500000</v>
      </c>
      <c r="F4" s="2">
        <v>0.08</v>
      </c>
      <c r="G4" t="s">
        <v>10</v>
      </c>
    </row>
    <row r="5" spans="1:8">
      <c r="A5" s="1">
        <f t="shared" si="0"/>
        <v>46080</v>
      </c>
      <c r="B5" t="s">
        <v>8</v>
      </c>
      <c r="C5" s="1">
        <v>48426</v>
      </c>
      <c r="E5" s="3">
        <v>5000000</v>
      </c>
      <c r="F5" s="2"/>
      <c r="G5" t="s">
        <v>10</v>
      </c>
      <c r="H5" t="s">
        <v>9</v>
      </c>
    </row>
    <row r="6" spans="1:8">
      <c r="A6" s="1">
        <f t="shared" si="0"/>
        <v>46080</v>
      </c>
      <c r="B6" t="s">
        <v>8</v>
      </c>
      <c r="C6" s="1">
        <v>55153</v>
      </c>
      <c r="D6" t="s">
        <v>9</v>
      </c>
      <c r="E6" s="3">
        <v>5500000</v>
      </c>
      <c r="F6" s="2">
        <v>0.06</v>
      </c>
      <c r="G6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C0D8A-B0CD-4995-9075-E00B472FF640}">
  <dimension ref="A1:J7"/>
  <sheetViews>
    <sheetView workbookViewId="0"/>
  </sheetViews>
  <sheetFormatPr defaultRowHeight="14.45"/>
  <cols>
    <col min="1" max="1" width="17" bestFit="1" customWidth="1"/>
    <col min="2" max="2" width="10" bestFit="1" customWidth="1"/>
    <col min="3" max="3" width="11" bestFit="1" customWidth="1"/>
    <col min="4" max="4" width="11.85546875" customWidth="1"/>
    <col min="5" max="5" width="10.140625" bestFit="1" customWidth="1"/>
    <col min="6" max="8" width="9.140625" customWidth="1"/>
    <col min="9" max="9" width="12.5703125" customWidth="1"/>
    <col min="10" max="10" width="15.85546875" bestFit="1" customWidth="1"/>
  </cols>
  <sheetData>
    <row r="1" spans="1:10">
      <c r="A1" s="4" t="s">
        <v>0</v>
      </c>
      <c r="B1" t="s">
        <v>11</v>
      </c>
      <c r="C1" t="s">
        <v>12</v>
      </c>
      <c r="D1" t="s">
        <v>13</v>
      </c>
      <c r="E1" t="s">
        <v>2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</row>
    <row r="2" spans="1:10">
      <c r="A2" s="1">
        <f>Table1[[#This Row],[Date Valorisation]]</f>
        <v>46080</v>
      </c>
      <c r="B2" t="s">
        <v>19</v>
      </c>
      <c r="C2" s="3">
        <v>100000</v>
      </c>
      <c r="D2" t="s">
        <v>20</v>
      </c>
      <c r="E2" s="1">
        <v>46203</v>
      </c>
      <c r="F2" s="3">
        <v>260</v>
      </c>
      <c r="G2">
        <v>280</v>
      </c>
    </row>
    <row r="3" spans="1:10">
      <c r="A3" s="1">
        <f>Table1[[#This Row],[Date Valorisation]]</f>
        <v>46080</v>
      </c>
      <c r="B3" t="s">
        <v>19</v>
      </c>
      <c r="C3" s="3">
        <v>100000</v>
      </c>
      <c r="D3" t="s">
        <v>20</v>
      </c>
      <c r="E3" s="1">
        <v>46111</v>
      </c>
      <c r="F3" s="3">
        <v>240</v>
      </c>
      <c r="G3">
        <v>280</v>
      </c>
    </row>
    <row r="4" spans="1:10">
      <c r="A4" s="1">
        <f>Table1[[#This Row],[Date Valorisation]]</f>
        <v>46080</v>
      </c>
      <c r="B4" t="s">
        <v>21</v>
      </c>
      <c r="C4" s="3">
        <v>-100000</v>
      </c>
      <c r="D4" t="s">
        <v>20</v>
      </c>
      <c r="E4" s="1">
        <v>46295</v>
      </c>
      <c r="F4" s="3">
        <v>200</v>
      </c>
      <c r="G4">
        <v>230</v>
      </c>
    </row>
    <row r="5" spans="1:10">
      <c r="A5" s="1">
        <f>Table1[[#This Row],[Date Valorisation]]</f>
        <v>46080</v>
      </c>
      <c r="B5" t="s">
        <v>22</v>
      </c>
      <c r="C5" s="3">
        <v>250000</v>
      </c>
      <c r="D5" t="s">
        <v>20</v>
      </c>
      <c r="E5" s="1">
        <v>46203</v>
      </c>
      <c r="F5" s="3">
        <v>200</v>
      </c>
      <c r="G5">
        <v>230</v>
      </c>
      <c r="H5">
        <v>250</v>
      </c>
    </row>
    <row r="6" spans="1:10">
      <c r="A6" s="1">
        <f>Table1[[#This Row],[Date Valorisation]]</f>
        <v>46080</v>
      </c>
      <c r="B6" t="s">
        <v>23</v>
      </c>
      <c r="C6" s="3">
        <v>100000</v>
      </c>
      <c r="D6" t="s">
        <v>20</v>
      </c>
      <c r="E6" s="1">
        <v>46203</v>
      </c>
      <c r="F6" s="3">
        <v>260</v>
      </c>
      <c r="G6">
        <v>280</v>
      </c>
      <c r="I6" t="s">
        <v>24</v>
      </c>
      <c r="J6">
        <v>290</v>
      </c>
    </row>
    <row r="7" spans="1:10">
      <c r="A7" s="1">
        <f>A6</f>
        <v>46080</v>
      </c>
      <c r="B7" t="s">
        <v>25</v>
      </c>
      <c r="C7" s="3">
        <v>100000</v>
      </c>
      <c r="D7" t="s">
        <v>20</v>
      </c>
      <c r="E7" s="1">
        <v>46203</v>
      </c>
      <c r="F7" s="3">
        <v>260</v>
      </c>
      <c r="G7">
        <v>280</v>
      </c>
      <c r="I7" t="s">
        <v>26</v>
      </c>
      <c r="J7">
        <v>240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6F80-7FD9-4C6B-AA11-DA525EDE4DFF}">
  <dimension ref="A1:G100"/>
  <sheetViews>
    <sheetView workbookViewId="0"/>
  </sheetViews>
  <sheetFormatPr defaultRowHeight="14.45"/>
  <cols>
    <col min="1" max="1" width="14.85546875" customWidth="1"/>
    <col min="3" max="3" width="17.140625" customWidth="1"/>
    <col min="4" max="4" width="17.140625" bestFit="1" customWidth="1"/>
    <col min="5" max="5" width="16" bestFit="1" customWidth="1"/>
    <col min="6" max="6" width="10" bestFit="1" customWidth="1"/>
  </cols>
  <sheetData>
    <row r="1" spans="1:7">
      <c r="A1" s="4" t="s">
        <v>0</v>
      </c>
      <c r="B1" s="5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</row>
    <row r="2" spans="1:7">
      <c r="A2" s="1">
        <f>Table2[[#This Row],[Date Valorisation]]</f>
        <v>46080</v>
      </c>
      <c r="B2">
        <v>1</v>
      </c>
      <c r="C2" s="1">
        <v>46811</v>
      </c>
      <c r="D2" s="2">
        <v>1</v>
      </c>
      <c r="E2" s="1">
        <v>46053</v>
      </c>
      <c r="F2" s="2">
        <f>8%*(C2-E2)/365</f>
        <v>0.16613698630136986</v>
      </c>
      <c r="G2" t="s">
        <v>20</v>
      </c>
    </row>
    <row r="3" spans="1:7">
      <c r="A3" s="1">
        <f>A2</f>
        <v>46080</v>
      </c>
      <c r="B3">
        <v>1</v>
      </c>
      <c r="C3" s="1">
        <f>DATE(YEAR(C2),MONTH(C2)+2,1)-1</f>
        <v>46843</v>
      </c>
      <c r="D3" s="6">
        <f>IF(MONTH(C3)=2,D2-5%,D2)</f>
        <v>1</v>
      </c>
      <c r="E3" s="1">
        <v>46053</v>
      </c>
      <c r="F3" s="2">
        <f t="shared" ref="F3:F66" si="0">8%*(C3-E3)/365</f>
        <v>0.17315068493150687</v>
      </c>
      <c r="G3" t="s">
        <v>20</v>
      </c>
    </row>
    <row r="4" spans="1:7">
      <c r="A4" s="1">
        <f t="shared" ref="A4:A67" si="1">A3</f>
        <v>46080</v>
      </c>
      <c r="B4">
        <v>1</v>
      </c>
      <c r="C4" s="1">
        <f t="shared" ref="C4:C67" si="2">DATE(YEAR(C3),MONTH(C3)+2,1)-1</f>
        <v>46873</v>
      </c>
      <c r="D4" s="6">
        <f t="shared" ref="D4:D67" si="3">IF(MONTH(C4)=2,D3-5%,D3)</f>
        <v>1</v>
      </c>
      <c r="E4" s="1">
        <v>46053</v>
      </c>
      <c r="F4" s="2">
        <f t="shared" si="0"/>
        <v>0.17972602739726026</v>
      </c>
      <c r="G4" t="s">
        <v>20</v>
      </c>
    </row>
    <row r="5" spans="1:7">
      <c r="A5" s="1">
        <f t="shared" si="1"/>
        <v>46080</v>
      </c>
      <c r="B5">
        <v>1</v>
      </c>
      <c r="C5" s="1">
        <f t="shared" si="2"/>
        <v>46904</v>
      </c>
      <c r="D5" s="6">
        <f t="shared" si="3"/>
        <v>1</v>
      </c>
      <c r="E5" s="1">
        <v>46053</v>
      </c>
      <c r="F5" s="2">
        <f t="shared" si="0"/>
        <v>0.18652054794520548</v>
      </c>
      <c r="G5" t="s">
        <v>20</v>
      </c>
    </row>
    <row r="6" spans="1:7">
      <c r="A6" s="1">
        <f t="shared" si="1"/>
        <v>46080</v>
      </c>
      <c r="B6">
        <v>1</v>
      </c>
      <c r="C6" s="1">
        <f t="shared" si="2"/>
        <v>46934</v>
      </c>
      <c r="D6" s="6">
        <f t="shared" si="3"/>
        <v>1</v>
      </c>
      <c r="E6" s="1">
        <v>46053</v>
      </c>
      <c r="F6" s="2">
        <f t="shared" si="0"/>
        <v>0.19309589041095893</v>
      </c>
      <c r="G6" t="s">
        <v>20</v>
      </c>
    </row>
    <row r="7" spans="1:7">
      <c r="A7" s="1">
        <f t="shared" si="1"/>
        <v>46080</v>
      </c>
      <c r="B7">
        <v>1</v>
      </c>
      <c r="C7" s="1">
        <f t="shared" si="2"/>
        <v>46965</v>
      </c>
      <c r="D7" s="6">
        <f t="shared" si="3"/>
        <v>1</v>
      </c>
      <c r="E7" s="1">
        <v>46053</v>
      </c>
      <c r="F7" s="2">
        <f t="shared" si="0"/>
        <v>0.19989041095890414</v>
      </c>
      <c r="G7" t="s">
        <v>20</v>
      </c>
    </row>
    <row r="8" spans="1:7">
      <c r="A8" s="1">
        <f t="shared" si="1"/>
        <v>46080</v>
      </c>
      <c r="B8">
        <v>1</v>
      </c>
      <c r="C8" s="1">
        <f t="shared" si="2"/>
        <v>46996</v>
      </c>
      <c r="D8" s="6">
        <f t="shared" si="3"/>
        <v>1</v>
      </c>
      <c r="E8" s="1">
        <v>46053</v>
      </c>
      <c r="F8" s="2">
        <f t="shared" si="0"/>
        <v>0.2066849315068493</v>
      </c>
      <c r="G8" t="s">
        <v>20</v>
      </c>
    </row>
    <row r="9" spans="1:7">
      <c r="A9" s="1">
        <f t="shared" si="1"/>
        <v>46080</v>
      </c>
      <c r="B9">
        <v>1</v>
      </c>
      <c r="C9" s="1">
        <f t="shared" si="2"/>
        <v>47026</v>
      </c>
      <c r="D9" s="6">
        <f t="shared" si="3"/>
        <v>1</v>
      </c>
      <c r="E9" s="1">
        <v>46053</v>
      </c>
      <c r="F9" s="2">
        <f t="shared" si="0"/>
        <v>0.21326027397260275</v>
      </c>
      <c r="G9" t="s">
        <v>20</v>
      </c>
    </row>
    <row r="10" spans="1:7">
      <c r="A10" s="1">
        <f t="shared" si="1"/>
        <v>46080</v>
      </c>
      <c r="B10">
        <v>1</v>
      </c>
      <c r="C10" s="1">
        <f t="shared" si="2"/>
        <v>47057</v>
      </c>
      <c r="D10" s="6">
        <f t="shared" si="3"/>
        <v>1</v>
      </c>
      <c r="E10" s="1">
        <v>46053</v>
      </c>
      <c r="F10" s="2">
        <f t="shared" si="0"/>
        <v>0.22005479452054796</v>
      </c>
      <c r="G10" t="s">
        <v>20</v>
      </c>
    </row>
    <row r="11" spans="1:7">
      <c r="A11" s="1">
        <f t="shared" si="1"/>
        <v>46080</v>
      </c>
      <c r="B11">
        <v>1</v>
      </c>
      <c r="C11" s="1">
        <f t="shared" si="2"/>
        <v>47087</v>
      </c>
      <c r="D11" s="6">
        <f t="shared" si="3"/>
        <v>1</v>
      </c>
      <c r="E11" s="1">
        <v>46053</v>
      </c>
      <c r="F11" s="2">
        <f t="shared" si="0"/>
        <v>0.22663013698630136</v>
      </c>
      <c r="G11" t="s">
        <v>20</v>
      </c>
    </row>
    <row r="12" spans="1:7">
      <c r="A12" s="1">
        <f t="shared" si="1"/>
        <v>46080</v>
      </c>
      <c r="B12">
        <v>1</v>
      </c>
      <c r="C12" s="1">
        <f t="shared" si="2"/>
        <v>47118</v>
      </c>
      <c r="D12" s="6">
        <f t="shared" si="3"/>
        <v>1</v>
      </c>
      <c r="E12" s="1">
        <v>46053</v>
      </c>
      <c r="F12" s="2">
        <f t="shared" si="0"/>
        <v>0.23342465753424657</v>
      </c>
      <c r="G12" t="s">
        <v>20</v>
      </c>
    </row>
    <row r="13" spans="1:7">
      <c r="A13" s="1">
        <f t="shared" si="1"/>
        <v>46080</v>
      </c>
      <c r="B13">
        <v>1</v>
      </c>
      <c r="C13" s="1">
        <f t="shared" si="2"/>
        <v>47149</v>
      </c>
      <c r="D13" s="6">
        <f t="shared" si="3"/>
        <v>1</v>
      </c>
      <c r="E13" s="1">
        <v>46053</v>
      </c>
      <c r="F13" s="2">
        <f t="shared" si="0"/>
        <v>0.24021917808219179</v>
      </c>
      <c r="G13" t="s">
        <v>20</v>
      </c>
    </row>
    <row r="14" spans="1:7">
      <c r="A14" s="1">
        <f t="shared" si="1"/>
        <v>46080</v>
      </c>
      <c r="B14">
        <v>1</v>
      </c>
      <c r="C14" s="1">
        <f t="shared" si="2"/>
        <v>47177</v>
      </c>
      <c r="D14" s="6">
        <f t="shared" si="3"/>
        <v>0.95</v>
      </c>
      <c r="E14" s="1">
        <v>46053</v>
      </c>
      <c r="F14" s="2">
        <f t="shared" si="0"/>
        <v>0.24635616438356164</v>
      </c>
      <c r="G14" t="s">
        <v>20</v>
      </c>
    </row>
    <row r="15" spans="1:7">
      <c r="A15" s="1">
        <f t="shared" si="1"/>
        <v>46080</v>
      </c>
      <c r="B15">
        <v>1</v>
      </c>
      <c r="C15" s="1">
        <f t="shared" si="2"/>
        <v>47208</v>
      </c>
      <c r="D15" s="6">
        <f t="shared" si="3"/>
        <v>0.95</v>
      </c>
      <c r="E15" s="1">
        <v>46053</v>
      </c>
      <c r="F15" s="2">
        <f t="shared" si="0"/>
        <v>0.25315068493150689</v>
      </c>
      <c r="G15" t="s">
        <v>20</v>
      </c>
    </row>
    <row r="16" spans="1:7">
      <c r="A16" s="1">
        <f t="shared" si="1"/>
        <v>46080</v>
      </c>
      <c r="B16">
        <v>1</v>
      </c>
      <c r="C16" s="1">
        <f t="shared" si="2"/>
        <v>47238</v>
      </c>
      <c r="D16" s="6">
        <f t="shared" si="3"/>
        <v>0.95</v>
      </c>
      <c r="E16" s="1">
        <v>46053</v>
      </c>
      <c r="F16" s="2">
        <f t="shared" si="0"/>
        <v>0.25972602739726025</v>
      </c>
      <c r="G16" t="s">
        <v>20</v>
      </c>
    </row>
    <row r="17" spans="1:7">
      <c r="A17" s="1">
        <f t="shared" si="1"/>
        <v>46080</v>
      </c>
      <c r="B17">
        <v>1</v>
      </c>
      <c r="C17" s="1">
        <f t="shared" si="2"/>
        <v>47269</v>
      </c>
      <c r="D17" s="6">
        <f t="shared" si="3"/>
        <v>0.95</v>
      </c>
      <c r="E17" s="1">
        <v>46053</v>
      </c>
      <c r="F17" s="2">
        <f t="shared" si="0"/>
        <v>0.26652054794520547</v>
      </c>
      <c r="G17" t="s">
        <v>20</v>
      </c>
    </row>
    <row r="18" spans="1:7">
      <c r="A18" s="1">
        <f t="shared" si="1"/>
        <v>46080</v>
      </c>
      <c r="B18">
        <v>1</v>
      </c>
      <c r="C18" s="1">
        <f t="shared" si="2"/>
        <v>47299</v>
      </c>
      <c r="D18" s="6">
        <f t="shared" si="3"/>
        <v>0.95</v>
      </c>
      <c r="E18" s="1">
        <v>46053</v>
      </c>
      <c r="F18" s="2">
        <f t="shared" si="0"/>
        <v>0.27309589041095894</v>
      </c>
      <c r="G18" t="s">
        <v>20</v>
      </c>
    </row>
    <row r="19" spans="1:7">
      <c r="A19" s="1">
        <f t="shared" si="1"/>
        <v>46080</v>
      </c>
      <c r="B19">
        <v>1</v>
      </c>
      <c r="C19" s="1">
        <f t="shared" si="2"/>
        <v>47330</v>
      </c>
      <c r="D19" s="6">
        <f t="shared" si="3"/>
        <v>0.95</v>
      </c>
      <c r="E19" s="1">
        <v>46053</v>
      </c>
      <c r="F19" s="2">
        <f t="shared" si="0"/>
        <v>0.2798904109589041</v>
      </c>
      <c r="G19" t="s">
        <v>20</v>
      </c>
    </row>
    <row r="20" spans="1:7">
      <c r="A20" s="1">
        <f t="shared" si="1"/>
        <v>46080</v>
      </c>
      <c r="B20">
        <v>1</v>
      </c>
      <c r="C20" s="1">
        <f t="shared" si="2"/>
        <v>47361</v>
      </c>
      <c r="D20" s="6">
        <f t="shared" si="3"/>
        <v>0.95</v>
      </c>
      <c r="E20" s="1">
        <v>46053</v>
      </c>
      <c r="F20" s="2">
        <f t="shared" si="0"/>
        <v>0.28668493150684932</v>
      </c>
      <c r="G20" t="s">
        <v>20</v>
      </c>
    </row>
    <row r="21" spans="1:7">
      <c r="A21" s="1">
        <f t="shared" si="1"/>
        <v>46080</v>
      </c>
      <c r="B21">
        <v>1</v>
      </c>
      <c r="C21" s="1">
        <f t="shared" si="2"/>
        <v>47391</v>
      </c>
      <c r="D21" s="6">
        <f t="shared" si="3"/>
        <v>0.95</v>
      </c>
      <c r="E21" s="1">
        <v>46053</v>
      </c>
      <c r="F21" s="2">
        <f t="shared" si="0"/>
        <v>0.29326027397260274</v>
      </c>
      <c r="G21" t="s">
        <v>20</v>
      </c>
    </row>
    <row r="22" spans="1:7">
      <c r="A22" s="1">
        <f t="shared" si="1"/>
        <v>46080</v>
      </c>
      <c r="B22">
        <v>1</v>
      </c>
      <c r="C22" s="1">
        <f t="shared" si="2"/>
        <v>47422</v>
      </c>
      <c r="D22" s="6">
        <f t="shared" si="3"/>
        <v>0.95</v>
      </c>
      <c r="E22" s="1">
        <v>46053</v>
      </c>
      <c r="F22" s="2">
        <f t="shared" si="0"/>
        <v>0.30005479452054795</v>
      </c>
      <c r="G22" t="s">
        <v>20</v>
      </c>
    </row>
    <row r="23" spans="1:7">
      <c r="A23" s="1">
        <f t="shared" si="1"/>
        <v>46080</v>
      </c>
      <c r="B23">
        <v>1</v>
      </c>
      <c r="C23" s="1">
        <f t="shared" si="2"/>
        <v>47452</v>
      </c>
      <c r="D23" s="6">
        <f t="shared" si="3"/>
        <v>0.95</v>
      </c>
      <c r="E23" s="1">
        <v>46053</v>
      </c>
      <c r="F23" s="2">
        <f t="shared" si="0"/>
        <v>0.30663013698630137</v>
      </c>
      <c r="G23" t="s">
        <v>20</v>
      </c>
    </row>
    <row r="24" spans="1:7">
      <c r="A24" s="1">
        <f t="shared" si="1"/>
        <v>46080</v>
      </c>
      <c r="B24">
        <v>1</v>
      </c>
      <c r="C24" s="1">
        <f t="shared" si="2"/>
        <v>47483</v>
      </c>
      <c r="D24" s="6">
        <f t="shared" si="3"/>
        <v>0.95</v>
      </c>
      <c r="E24" s="1">
        <v>46053</v>
      </c>
      <c r="F24" s="2">
        <f t="shared" si="0"/>
        <v>0.31342465753424659</v>
      </c>
      <c r="G24" t="s">
        <v>20</v>
      </c>
    </row>
    <row r="25" spans="1:7">
      <c r="A25" s="1">
        <f t="shared" si="1"/>
        <v>46080</v>
      </c>
      <c r="B25">
        <v>1</v>
      </c>
      <c r="C25" s="1">
        <f t="shared" si="2"/>
        <v>47514</v>
      </c>
      <c r="D25" s="6">
        <f t="shared" si="3"/>
        <v>0.95</v>
      </c>
      <c r="E25" s="1">
        <v>46053</v>
      </c>
      <c r="F25" s="2">
        <f t="shared" si="0"/>
        <v>0.32021917808219175</v>
      </c>
      <c r="G25" t="s">
        <v>20</v>
      </c>
    </row>
    <row r="26" spans="1:7">
      <c r="A26" s="1">
        <f t="shared" si="1"/>
        <v>46080</v>
      </c>
      <c r="B26">
        <v>1</v>
      </c>
      <c r="C26" s="1">
        <f t="shared" si="2"/>
        <v>47542</v>
      </c>
      <c r="D26" s="6">
        <f t="shared" si="3"/>
        <v>0.89999999999999991</v>
      </c>
      <c r="E26" s="1">
        <v>46053</v>
      </c>
      <c r="F26" s="2">
        <f t="shared" si="0"/>
        <v>0.32635616438356163</v>
      </c>
      <c r="G26" t="s">
        <v>20</v>
      </c>
    </row>
    <row r="27" spans="1:7">
      <c r="A27" s="1">
        <f t="shared" si="1"/>
        <v>46080</v>
      </c>
      <c r="B27">
        <v>1</v>
      </c>
      <c r="C27" s="1">
        <f t="shared" si="2"/>
        <v>47573</v>
      </c>
      <c r="D27" s="6">
        <f t="shared" si="3"/>
        <v>0.89999999999999991</v>
      </c>
      <c r="E27" s="1">
        <v>46053</v>
      </c>
      <c r="F27" s="2">
        <f t="shared" si="0"/>
        <v>0.33315068493150685</v>
      </c>
      <c r="G27" t="s">
        <v>20</v>
      </c>
    </row>
    <row r="28" spans="1:7">
      <c r="A28" s="1">
        <f t="shared" si="1"/>
        <v>46080</v>
      </c>
      <c r="B28">
        <v>1</v>
      </c>
      <c r="C28" s="1">
        <f t="shared" si="2"/>
        <v>47603</v>
      </c>
      <c r="D28" s="6">
        <f t="shared" si="3"/>
        <v>0.89999999999999991</v>
      </c>
      <c r="E28" s="1">
        <v>46053</v>
      </c>
      <c r="F28" s="2">
        <f t="shared" si="0"/>
        <v>0.33972602739726027</v>
      </c>
      <c r="G28" t="s">
        <v>20</v>
      </c>
    </row>
    <row r="29" spans="1:7">
      <c r="A29" s="1">
        <f t="shared" si="1"/>
        <v>46080</v>
      </c>
      <c r="B29">
        <v>1</v>
      </c>
      <c r="C29" s="1">
        <f t="shared" si="2"/>
        <v>47634</v>
      </c>
      <c r="D29" s="6">
        <f t="shared" si="3"/>
        <v>0.89999999999999991</v>
      </c>
      <c r="E29" s="1">
        <v>46053</v>
      </c>
      <c r="F29" s="2">
        <f t="shared" si="0"/>
        <v>0.34652054794520548</v>
      </c>
      <c r="G29" t="s">
        <v>20</v>
      </c>
    </row>
    <row r="30" spans="1:7">
      <c r="A30" s="1">
        <f t="shared" si="1"/>
        <v>46080</v>
      </c>
      <c r="B30">
        <v>1</v>
      </c>
      <c r="C30" s="1">
        <f t="shared" si="2"/>
        <v>47664</v>
      </c>
      <c r="D30" s="6">
        <f t="shared" si="3"/>
        <v>0.89999999999999991</v>
      </c>
      <c r="E30" s="1">
        <v>46053</v>
      </c>
      <c r="F30" s="2">
        <f t="shared" si="0"/>
        <v>0.3530958904109589</v>
      </c>
      <c r="G30" t="s">
        <v>20</v>
      </c>
    </row>
    <row r="31" spans="1:7">
      <c r="A31" s="1">
        <f t="shared" si="1"/>
        <v>46080</v>
      </c>
      <c r="B31">
        <v>1</v>
      </c>
      <c r="C31" s="1">
        <f t="shared" si="2"/>
        <v>47695</v>
      </c>
      <c r="D31" s="6">
        <f t="shared" si="3"/>
        <v>0.89999999999999991</v>
      </c>
      <c r="E31" s="1">
        <v>46053</v>
      </c>
      <c r="F31" s="2">
        <f t="shared" si="0"/>
        <v>0.35989041095890417</v>
      </c>
      <c r="G31" t="s">
        <v>20</v>
      </c>
    </row>
    <row r="32" spans="1:7">
      <c r="A32" s="1">
        <f t="shared" si="1"/>
        <v>46080</v>
      </c>
      <c r="B32">
        <v>1</v>
      </c>
      <c r="C32" s="1">
        <f t="shared" si="2"/>
        <v>47726</v>
      </c>
      <c r="D32" s="6">
        <f t="shared" si="3"/>
        <v>0.89999999999999991</v>
      </c>
      <c r="E32" s="1">
        <v>46053</v>
      </c>
      <c r="F32" s="2">
        <f t="shared" si="0"/>
        <v>0.36668493150684933</v>
      </c>
      <c r="G32" t="s">
        <v>20</v>
      </c>
    </row>
    <row r="33" spans="1:7">
      <c r="A33" s="1">
        <f t="shared" si="1"/>
        <v>46080</v>
      </c>
      <c r="B33">
        <v>1</v>
      </c>
      <c r="C33" s="1">
        <f t="shared" si="2"/>
        <v>47756</v>
      </c>
      <c r="D33" s="6">
        <f t="shared" si="3"/>
        <v>0.89999999999999991</v>
      </c>
      <c r="E33" s="1">
        <v>46053</v>
      </c>
      <c r="F33" s="2">
        <f t="shared" si="0"/>
        <v>0.37326027397260275</v>
      </c>
      <c r="G33" t="s">
        <v>20</v>
      </c>
    </row>
    <row r="34" spans="1:7">
      <c r="A34" s="1">
        <f t="shared" si="1"/>
        <v>46080</v>
      </c>
      <c r="B34">
        <v>1</v>
      </c>
      <c r="C34" s="1">
        <f t="shared" si="2"/>
        <v>47787</v>
      </c>
      <c r="D34" s="6">
        <f t="shared" si="3"/>
        <v>0.89999999999999991</v>
      </c>
      <c r="E34" s="1">
        <v>46053</v>
      </c>
      <c r="F34" s="2">
        <f t="shared" si="0"/>
        <v>0.38005479452054797</v>
      </c>
      <c r="G34" t="s">
        <v>20</v>
      </c>
    </row>
    <row r="35" spans="1:7">
      <c r="A35" s="1">
        <f t="shared" si="1"/>
        <v>46080</v>
      </c>
      <c r="B35">
        <v>1</v>
      </c>
      <c r="C35" s="1">
        <f t="shared" si="2"/>
        <v>47817</v>
      </c>
      <c r="D35" s="6">
        <f t="shared" si="3"/>
        <v>0.89999999999999991</v>
      </c>
      <c r="E35" s="1">
        <v>46053</v>
      </c>
      <c r="F35" s="2">
        <f t="shared" si="0"/>
        <v>0.38663013698630139</v>
      </c>
      <c r="G35" t="s">
        <v>20</v>
      </c>
    </row>
    <row r="36" spans="1:7">
      <c r="A36" s="1">
        <f t="shared" si="1"/>
        <v>46080</v>
      </c>
      <c r="B36">
        <v>1</v>
      </c>
      <c r="C36" s="1">
        <f t="shared" si="2"/>
        <v>47848</v>
      </c>
      <c r="D36" s="6">
        <f t="shared" si="3"/>
        <v>0.89999999999999991</v>
      </c>
      <c r="E36" s="1">
        <v>46053</v>
      </c>
      <c r="F36" s="2">
        <f t="shared" si="0"/>
        <v>0.39342465753424655</v>
      </c>
      <c r="G36" t="s">
        <v>20</v>
      </c>
    </row>
    <row r="37" spans="1:7">
      <c r="A37" s="1">
        <f t="shared" si="1"/>
        <v>46080</v>
      </c>
      <c r="B37">
        <v>1</v>
      </c>
      <c r="C37" s="1">
        <f t="shared" si="2"/>
        <v>47879</v>
      </c>
      <c r="D37" s="6">
        <f t="shared" si="3"/>
        <v>0.89999999999999991</v>
      </c>
      <c r="E37" s="1">
        <v>46053</v>
      </c>
      <c r="F37" s="2">
        <f t="shared" si="0"/>
        <v>0.40021917808219182</v>
      </c>
      <c r="G37" t="s">
        <v>20</v>
      </c>
    </row>
    <row r="38" spans="1:7">
      <c r="A38" s="1">
        <f t="shared" si="1"/>
        <v>46080</v>
      </c>
      <c r="B38">
        <v>1</v>
      </c>
      <c r="C38" s="1">
        <f t="shared" si="2"/>
        <v>47907</v>
      </c>
      <c r="D38" s="6">
        <f t="shared" si="3"/>
        <v>0.84999999999999987</v>
      </c>
      <c r="E38" s="1">
        <v>46053</v>
      </c>
      <c r="F38" s="2">
        <f t="shared" si="0"/>
        <v>0.40635616438356165</v>
      </c>
      <c r="G38" t="s">
        <v>20</v>
      </c>
    </row>
    <row r="39" spans="1:7">
      <c r="A39" s="1">
        <f t="shared" si="1"/>
        <v>46080</v>
      </c>
      <c r="B39">
        <v>1</v>
      </c>
      <c r="C39" s="1">
        <f t="shared" si="2"/>
        <v>47938</v>
      </c>
      <c r="D39" s="6">
        <f t="shared" si="3"/>
        <v>0.84999999999999987</v>
      </c>
      <c r="E39" s="1">
        <v>46053</v>
      </c>
      <c r="F39" s="2">
        <f t="shared" si="0"/>
        <v>0.41315068493150686</v>
      </c>
      <c r="G39" t="s">
        <v>20</v>
      </c>
    </row>
    <row r="40" spans="1:7">
      <c r="A40" s="1">
        <f t="shared" si="1"/>
        <v>46080</v>
      </c>
      <c r="B40">
        <v>1</v>
      </c>
      <c r="C40" s="1">
        <f t="shared" si="2"/>
        <v>47968</v>
      </c>
      <c r="D40" s="6">
        <f t="shared" si="3"/>
        <v>0.84999999999999987</v>
      </c>
      <c r="E40" s="1">
        <v>46053</v>
      </c>
      <c r="F40" s="2">
        <f t="shared" si="0"/>
        <v>0.41972602739726034</v>
      </c>
      <c r="G40" t="s">
        <v>20</v>
      </c>
    </row>
    <row r="41" spans="1:7">
      <c r="A41" s="1">
        <f t="shared" si="1"/>
        <v>46080</v>
      </c>
      <c r="B41">
        <v>1</v>
      </c>
      <c r="C41" s="1">
        <f t="shared" si="2"/>
        <v>47999</v>
      </c>
      <c r="D41" s="6">
        <f t="shared" si="3"/>
        <v>0.84999999999999987</v>
      </c>
      <c r="E41" s="1">
        <v>46053</v>
      </c>
      <c r="F41" s="2">
        <f t="shared" si="0"/>
        <v>0.4265205479452055</v>
      </c>
      <c r="G41" t="s">
        <v>20</v>
      </c>
    </row>
    <row r="42" spans="1:7">
      <c r="A42" s="1">
        <f t="shared" si="1"/>
        <v>46080</v>
      </c>
      <c r="B42">
        <v>1</v>
      </c>
      <c r="C42" s="1">
        <f t="shared" si="2"/>
        <v>48029</v>
      </c>
      <c r="D42" s="6">
        <f t="shared" si="3"/>
        <v>0.84999999999999987</v>
      </c>
      <c r="E42" s="1">
        <v>46053</v>
      </c>
      <c r="F42" s="2">
        <f t="shared" si="0"/>
        <v>0.43309589041095892</v>
      </c>
      <c r="G42" t="s">
        <v>20</v>
      </c>
    </row>
    <row r="43" spans="1:7">
      <c r="A43" s="1">
        <f t="shared" si="1"/>
        <v>46080</v>
      </c>
      <c r="B43">
        <v>1</v>
      </c>
      <c r="C43" s="1">
        <f t="shared" si="2"/>
        <v>48060</v>
      </c>
      <c r="D43" s="6">
        <f t="shared" si="3"/>
        <v>0.84999999999999987</v>
      </c>
      <c r="E43" s="1">
        <v>46053</v>
      </c>
      <c r="F43" s="2">
        <f t="shared" si="0"/>
        <v>0.43989041095890413</v>
      </c>
      <c r="G43" t="s">
        <v>20</v>
      </c>
    </row>
    <row r="44" spans="1:7">
      <c r="A44" s="1">
        <f t="shared" si="1"/>
        <v>46080</v>
      </c>
      <c r="B44">
        <v>1</v>
      </c>
      <c r="C44" s="1">
        <f t="shared" si="2"/>
        <v>48091</v>
      </c>
      <c r="D44" s="6">
        <f t="shared" si="3"/>
        <v>0.84999999999999987</v>
      </c>
      <c r="E44" s="1">
        <v>46053</v>
      </c>
      <c r="F44" s="2">
        <f t="shared" si="0"/>
        <v>0.44668493150684929</v>
      </c>
      <c r="G44" t="s">
        <v>20</v>
      </c>
    </row>
    <row r="45" spans="1:7">
      <c r="A45" s="1">
        <f t="shared" si="1"/>
        <v>46080</v>
      </c>
      <c r="B45">
        <v>1</v>
      </c>
      <c r="C45" s="1">
        <f t="shared" si="2"/>
        <v>48121</v>
      </c>
      <c r="D45" s="6">
        <f t="shared" si="3"/>
        <v>0.84999999999999987</v>
      </c>
      <c r="E45" s="1">
        <v>46053</v>
      </c>
      <c r="F45" s="2">
        <f t="shared" si="0"/>
        <v>0.45326027397260271</v>
      </c>
      <c r="G45" t="s">
        <v>20</v>
      </c>
    </row>
    <row r="46" spans="1:7">
      <c r="A46" s="1">
        <f t="shared" si="1"/>
        <v>46080</v>
      </c>
      <c r="B46">
        <v>1</v>
      </c>
      <c r="C46" s="1">
        <f t="shared" si="2"/>
        <v>48152</v>
      </c>
      <c r="D46" s="6">
        <f t="shared" si="3"/>
        <v>0.84999999999999987</v>
      </c>
      <c r="E46" s="1">
        <v>46053</v>
      </c>
      <c r="F46" s="2">
        <f t="shared" si="0"/>
        <v>0.46005479452054798</v>
      </c>
      <c r="G46" t="s">
        <v>20</v>
      </c>
    </row>
    <row r="47" spans="1:7">
      <c r="A47" s="1">
        <f t="shared" si="1"/>
        <v>46080</v>
      </c>
      <c r="B47">
        <v>1</v>
      </c>
      <c r="C47" s="1">
        <f t="shared" si="2"/>
        <v>48182</v>
      </c>
      <c r="D47" s="6">
        <f t="shared" si="3"/>
        <v>0.84999999999999987</v>
      </c>
      <c r="E47" s="1">
        <v>46053</v>
      </c>
      <c r="F47" s="2">
        <f t="shared" si="0"/>
        <v>0.46663013698630135</v>
      </c>
      <c r="G47" t="s">
        <v>20</v>
      </c>
    </row>
    <row r="48" spans="1:7">
      <c r="A48" s="1">
        <f t="shared" si="1"/>
        <v>46080</v>
      </c>
      <c r="B48">
        <v>1</v>
      </c>
      <c r="C48" s="1">
        <f t="shared" si="2"/>
        <v>48213</v>
      </c>
      <c r="D48" s="6">
        <f t="shared" si="3"/>
        <v>0.84999999999999987</v>
      </c>
      <c r="E48" s="1">
        <v>46053</v>
      </c>
      <c r="F48" s="2">
        <f t="shared" si="0"/>
        <v>0.47342465753424662</v>
      </c>
      <c r="G48" t="s">
        <v>20</v>
      </c>
    </row>
    <row r="49" spans="1:7">
      <c r="A49" s="1">
        <f t="shared" si="1"/>
        <v>46080</v>
      </c>
      <c r="B49">
        <v>1</v>
      </c>
      <c r="C49" s="1">
        <f t="shared" si="2"/>
        <v>48244</v>
      </c>
      <c r="D49" s="6">
        <f t="shared" si="3"/>
        <v>0.84999999999999987</v>
      </c>
      <c r="E49" s="1">
        <v>46053</v>
      </c>
      <c r="F49" s="2">
        <f t="shared" si="0"/>
        <v>0.48021917808219178</v>
      </c>
      <c r="G49" t="s">
        <v>20</v>
      </c>
    </row>
    <row r="50" spans="1:7">
      <c r="A50" s="1">
        <f t="shared" si="1"/>
        <v>46080</v>
      </c>
      <c r="B50">
        <v>1</v>
      </c>
      <c r="C50" s="1">
        <f t="shared" si="2"/>
        <v>48273</v>
      </c>
      <c r="D50" s="6">
        <f t="shared" si="3"/>
        <v>0.79999999999999982</v>
      </c>
      <c r="E50" s="1">
        <v>46053</v>
      </c>
      <c r="F50" s="2">
        <f t="shared" si="0"/>
        <v>0.4865753424657534</v>
      </c>
      <c r="G50" t="s">
        <v>20</v>
      </c>
    </row>
    <row r="51" spans="1:7">
      <c r="A51" s="1">
        <f t="shared" si="1"/>
        <v>46080</v>
      </c>
      <c r="B51">
        <v>1</v>
      </c>
      <c r="C51" s="1">
        <f t="shared" si="2"/>
        <v>48304</v>
      </c>
      <c r="D51" s="6">
        <f t="shared" si="3"/>
        <v>0.79999999999999982</v>
      </c>
      <c r="E51" s="1">
        <v>46053</v>
      </c>
      <c r="F51" s="2">
        <f t="shared" si="0"/>
        <v>0.49336986301369867</v>
      </c>
      <c r="G51" t="s">
        <v>20</v>
      </c>
    </row>
    <row r="52" spans="1:7">
      <c r="A52" s="1">
        <f t="shared" si="1"/>
        <v>46080</v>
      </c>
      <c r="B52">
        <v>1</v>
      </c>
      <c r="C52" s="1">
        <f t="shared" si="2"/>
        <v>48334</v>
      </c>
      <c r="D52" s="6">
        <f t="shared" si="3"/>
        <v>0.79999999999999982</v>
      </c>
      <c r="E52" s="1">
        <v>46053</v>
      </c>
      <c r="F52" s="2">
        <f t="shared" si="0"/>
        <v>0.49994520547945204</v>
      </c>
      <c r="G52" t="s">
        <v>20</v>
      </c>
    </row>
    <row r="53" spans="1:7">
      <c r="A53" s="1">
        <f t="shared" si="1"/>
        <v>46080</v>
      </c>
      <c r="B53">
        <v>1</v>
      </c>
      <c r="C53" s="1">
        <f t="shared" si="2"/>
        <v>48365</v>
      </c>
      <c r="D53" s="6">
        <f t="shared" si="3"/>
        <v>0.79999999999999982</v>
      </c>
      <c r="E53" s="1">
        <v>46053</v>
      </c>
      <c r="F53" s="2">
        <f t="shared" si="0"/>
        <v>0.50673972602739725</v>
      </c>
      <c r="G53" t="s">
        <v>20</v>
      </c>
    </row>
    <row r="54" spans="1:7">
      <c r="A54" s="1">
        <f t="shared" si="1"/>
        <v>46080</v>
      </c>
      <c r="B54">
        <v>1</v>
      </c>
      <c r="C54" s="1">
        <f t="shared" si="2"/>
        <v>48395</v>
      </c>
      <c r="D54" s="6">
        <f t="shared" si="3"/>
        <v>0.79999999999999982</v>
      </c>
      <c r="E54" s="1">
        <v>46053</v>
      </c>
      <c r="F54" s="2">
        <f t="shared" si="0"/>
        <v>0.51331506849315067</v>
      </c>
      <c r="G54" t="s">
        <v>20</v>
      </c>
    </row>
    <row r="55" spans="1:7">
      <c r="A55" s="1">
        <f t="shared" si="1"/>
        <v>46080</v>
      </c>
      <c r="B55">
        <v>1</v>
      </c>
      <c r="C55" s="1">
        <f t="shared" si="2"/>
        <v>48426</v>
      </c>
      <c r="D55" s="6">
        <f t="shared" si="3"/>
        <v>0.79999999999999982</v>
      </c>
      <c r="E55" s="1">
        <v>46053</v>
      </c>
      <c r="F55" s="2">
        <f t="shared" si="0"/>
        <v>0.52010958904109594</v>
      </c>
      <c r="G55" t="s">
        <v>20</v>
      </c>
    </row>
    <row r="56" spans="1:7">
      <c r="A56" s="1">
        <f t="shared" si="1"/>
        <v>46080</v>
      </c>
      <c r="B56">
        <v>1</v>
      </c>
      <c r="C56" s="1">
        <f t="shared" si="2"/>
        <v>48457</v>
      </c>
      <c r="D56" s="6">
        <f t="shared" si="3"/>
        <v>0.79999999999999982</v>
      </c>
      <c r="E56" s="1">
        <v>46053</v>
      </c>
      <c r="F56" s="2">
        <f t="shared" si="0"/>
        <v>0.5269041095890411</v>
      </c>
      <c r="G56" t="s">
        <v>20</v>
      </c>
    </row>
    <row r="57" spans="1:7">
      <c r="A57" s="1">
        <f t="shared" si="1"/>
        <v>46080</v>
      </c>
      <c r="B57">
        <v>1</v>
      </c>
      <c r="C57" s="1">
        <f t="shared" si="2"/>
        <v>48487</v>
      </c>
      <c r="D57" s="6">
        <f t="shared" si="3"/>
        <v>0.79999999999999982</v>
      </c>
      <c r="E57" s="1">
        <v>46053</v>
      </c>
      <c r="F57" s="2">
        <f t="shared" si="0"/>
        <v>0.53347945205479452</v>
      </c>
      <c r="G57" t="s">
        <v>20</v>
      </c>
    </row>
    <row r="58" spans="1:7">
      <c r="A58" s="1">
        <f t="shared" si="1"/>
        <v>46080</v>
      </c>
      <c r="B58">
        <v>1</v>
      </c>
      <c r="C58" s="1">
        <f t="shared" si="2"/>
        <v>48518</v>
      </c>
      <c r="D58" s="6">
        <f t="shared" si="3"/>
        <v>0.79999999999999982</v>
      </c>
      <c r="E58" s="1">
        <v>46053</v>
      </c>
      <c r="F58" s="2">
        <f t="shared" si="0"/>
        <v>0.54027397260273979</v>
      </c>
      <c r="G58" t="s">
        <v>20</v>
      </c>
    </row>
    <row r="59" spans="1:7">
      <c r="A59" s="1">
        <f t="shared" si="1"/>
        <v>46080</v>
      </c>
      <c r="B59">
        <v>1</v>
      </c>
      <c r="C59" s="1">
        <f t="shared" si="2"/>
        <v>48548</v>
      </c>
      <c r="D59" s="6">
        <f t="shared" si="3"/>
        <v>0.79999999999999982</v>
      </c>
      <c r="E59" s="1">
        <v>46053</v>
      </c>
      <c r="F59" s="2">
        <f t="shared" si="0"/>
        <v>0.5468493150684931</v>
      </c>
      <c r="G59" t="s">
        <v>20</v>
      </c>
    </row>
    <row r="60" spans="1:7">
      <c r="A60" s="1">
        <f t="shared" si="1"/>
        <v>46080</v>
      </c>
      <c r="B60">
        <v>1</v>
      </c>
      <c r="C60" s="1">
        <f t="shared" si="2"/>
        <v>48579</v>
      </c>
      <c r="D60" s="6">
        <f t="shared" si="3"/>
        <v>0.79999999999999982</v>
      </c>
      <c r="E60" s="1">
        <v>46053</v>
      </c>
      <c r="F60" s="2">
        <f t="shared" si="0"/>
        <v>0.55364383561643837</v>
      </c>
      <c r="G60" t="s">
        <v>20</v>
      </c>
    </row>
    <row r="61" spans="1:7">
      <c r="A61" s="1">
        <f t="shared" si="1"/>
        <v>46080</v>
      </c>
      <c r="B61">
        <v>1</v>
      </c>
      <c r="C61" s="1">
        <f t="shared" si="2"/>
        <v>48610</v>
      </c>
      <c r="D61" s="6">
        <f t="shared" si="3"/>
        <v>0.79999999999999982</v>
      </c>
      <c r="E61" s="1">
        <v>46053</v>
      </c>
      <c r="F61" s="2">
        <f t="shared" si="0"/>
        <v>0.56043835616438353</v>
      </c>
      <c r="G61" t="s">
        <v>20</v>
      </c>
    </row>
    <row r="62" spans="1:7">
      <c r="A62" s="1">
        <f t="shared" si="1"/>
        <v>46080</v>
      </c>
      <c r="B62">
        <v>1</v>
      </c>
      <c r="C62" s="1">
        <f t="shared" si="2"/>
        <v>48638</v>
      </c>
      <c r="D62" s="6">
        <f t="shared" si="3"/>
        <v>0.74999999999999978</v>
      </c>
      <c r="E62" s="1">
        <v>46053</v>
      </c>
      <c r="F62" s="2">
        <f t="shared" si="0"/>
        <v>0.56657534246575347</v>
      </c>
      <c r="G62" t="s">
        <v>20</v>
      </c>
    </row>
    <row r="63" spans="1:7">
      <c r="A63" s="1">
        <f t="shared" si="1"/>
        <v>46080</v>
      </c>
      <c r="B63">
        <v>1</v>
      </c>
      <c r="C63" s="1">
        <f t="shared" si="2"/>
        <v>48669</v>
      </c>
      <c r="D63" s="6">
        <f t="shared" si="3"/>
        <v>0.74999999999999978</v>
      </c>
      <c r="E63" s="1">
        <v>46053</v>
      </c>
      <c r="F63" s="2">
        <f t="shared" si="0"/>
        <v>0.57336986301369863</v>
      </c>
      <c r="G63" t="s">
        <v>20</v>
      </c>
    </row>
    <row r="64" spans="1:7">
      <c r="A64" s="1">
        <f t="shared" si="1"/>
        <v>46080</v>
      </c>
      <c r="B64">
        <v>1</v>
      </c>
      <c r="C64" s="1">
        <f t="shared" si="2"/>
        <v>48699</v>
      </c>
      <c r="D64" s="6">
        <f t="shared" si="3"/>
        <v>0.74999999999999978</v>
      </c>
      <c r="E64" s="1">
        <v>46053</v>
      </c>
      <c r="F64" s="2">
        <f t="shared" si="0"/>
        <v>0.57994520547945205</v>
      </c>
      <c r="G64" t="s">
        <v>20</v>
      </c>
    </row>
    <row r="65" spans="1:7">
      <c r="A65" s="1">
        <f t="shared" si="1"/>
        <v>46080</v>
      </c>
      <c r="B65">
        <v>1</v>
      </c>
      <c r="C65" s="1">
        <f t="shared" si="2"/>
        <v>48730</v>
      </c>
      <c r="D65" s="6">
        <f t="shared" si="3"/>
        <v>0.74999999999999978</v>
      </c>
      <c r="E65" s="1">
        <v>46053</v>
      </c>
      <c r="F65" s="2">
        <f t="shared" si="0"/>
        <v>0.58673972602739721</v>
      </c>
      <c r="G65" t="s">
        <v>20</v>
      </c>
    </row>
    <row r="66" spans="1:7">
      <c r="A66" s="1">
        <f t="shared" si="1"/>
        <v>46080</v>
      </c>
      <c r="B66">
        <v>1</v>
      </c>
      <c r="C66" s="1">
        <f t="shared" si="2"/>
        <v>48760</v>
      </c>
      <c r="D66" s="6">
        <f t="shared" si="3"/>
        <v>0.74999999999999978</v>
      </c>
      <c r="E66" s="1">
        <v>46053</v>
      </c>
      <c r="F66" s="2">
        <f t="shared" si="0"/>
        <v>0.59331506849315074</v>
      </c>
      <c r="G66" t="s">
        <v>20</v>
      </c>
    </row>
    <row r="67" spans="1:7">
      <c r="A67" s="1">
        <f t="shared" si="1"/>
        <v>46080</v>
      </c>
      <c r="B67">
        <v>1</v>
      </c>
      <c r="C67" s="1">
        <f t="shared" si="2"/>
        <v>48791</v>
      </c>
      <c r="D67" s="6">
        <f t="shared" si="3"/>
        <v>0.74999999999999978</v>
      </c>
      <c r="E67" s="1">
        <v>46053</v>
      </c>
      <c r="F67" s="2">
        <f t="shared" ref="F67:F97" si="4">8%*(C67-E67)/365</f>
        <v>0.6001095890410959</v>
      </c>
      <c r="G67" t="s">
        <v>20</v>
      </c>
    </row>
    <row r="68" spans="1:7">
      <c r="A68" s="1">
        <f t="shared" ref="A68:A97" si="5">A67</f>
        <v>46080</v>
      </c>
      <c r="B68">
        <v>1</v>
      </c>
      <c r="C68" s="1">
        <f t="shared" ref="C68:C100" si="6">DATE(YEAR(C67),MONTH(C67)+2,1)-1</f>
        <v>48822</v>
      </c>
      <c r="D68" s="6">
        <f t="shared" ref="D68:D97" si="7">IF(MONTH(C68)=2,D67-5%,D67)</f>
        <v>0.74999999999999978</v>
      </c>
      <c r="E68" s="1">
        <v>46053</v>
      </c>
      <c r="F68" s="2">
        <f t="shared" si="4"/>
        <v>0.60690410958904117</v>
      </c>
      <c r="G68" t="s">
        <v>20</v>
      </c>
    </row>
    <row r="69" spans="1:7">
      <c r="A69" s="1">
        <f t="shared" si="5"/>
        <v>46080</v>
      </c>
      <c r="B69">
        <v>1</v>
      </c>
      <c r="C69" s="1">
        <f t="shared" si="6"/>
        <v>48852</v>
      </c>
      <c r="D69" s="6">
        <f t="shared" si="7"/>
        <v>0.74999999999999978</v>
      </c>
      <c r="E69" s="1">
        <v>46053</v>
      </c>
      <c r="F69" s="2">
        <f t="shared" si="4"/>
        <v>0.61347945205479459</v>
      </c>
      <c r="G69" t="s">
        <v>20</v>
      </c>
    </row>
    <row r="70" spans="1:7">
      <c r="A70" s="1">
        <f t="shared" si="5"/>
        <v>46080</v>
      </c>
      <c r="B70">
        <v>1</v>
      </c>
      <c r="C70" s="1">
        <f t="shared" si="6"/>
        <v>48883</v>
      </c>
      <c r="D70" s="6">
        <f t="shared" si="7"/>
        <v>0.74999999999999978</v>
      </c>
      <c r="E70" s="1">
        <v>46053</v>
      </c>
      <c r="F70" s="2">
        <f t="shared" si="4"/>
        <v>0.62027397260273975</v>
      </c>
      <c r="G70" t="s">
        <v>20</v>
      </c>
    </row>
    <row r="71" spans="1:7">
      <c r="A71" s="1">
        <f t="shared" si="5"/>
        <v>46080</v>
      </c>
      <c r="B71">
        <v>1</v>
      </c>
      <c r="C71" s="1">
        <f t="shared" si="6"/>
        <v>48913</v>
      </c>
      <c r="D71" s="6">
        <f t="shared" si="7"/>
        <v>0.74999999999999978</v>
      </c>
      <c r="E71" s="1">
        <v>46053</v>
      </c>
      <c r="F71" s="2">
        <f t="shared" si="4"/>
        <v>0.62684931506849317</v>
      </c>
      <c r="G71" t="s">
        <v>20</v>
      </c>
    </row>
    <row r="72" spans="1:7">
      <c r="A72" s="1">
        <f t="shared" si="5"/>
        <v>46080</v>
      </c>
      <c r="B72">
        <v>1</v>
      </c>
      <c r="C72" s="1">
        <f t="shared" si="6"/>
        <v>48944</v>
      </c>
      <c r="D72" s="6">
        <f t="shared" si="7"/>
        <v>0.74999999999999978</v>
      </c>
      <c r="E72" s="1">
        <v>46053</v>
      </c>
      <c r="F72" s="2">
        <f t="shared" si="4"/>
        <v>0.63364383561643833</v>
      </c>
      <c r="G72" t="s">
        <v>20</v>
      </c>
    </row>
    <row r="73" spans="1:7">
      <c r="A73" s="1">
        <f t="shared" si="5"/>
        <v>46080</v>
      </c>
      <c r="B73">
        <v>1</v>
      </c>
      <c r="C73" s="1">
        <f t="shared" si="6"/>
        <v>48975</v>
      </c>
      <c r="D73" s="6">
        <f t="shared" si="7"/>
        <v>0.74999999999999978</v>
      </c>
      <c r="E73" s="1">
        <v>46053</v>
      </c>
      <c r="F73" s="2">
        <f t="shared" si="4"/>
        <v>0.64043835616438349</v>
      </c>
      <c r="G73" t="s">
        <v>20</v>
      </c>
    </row>
    <row r="74" spans="1:7">
      <c r="A74" s="1">
        <f t="shared" si="5"/>
        <v>46080</v>
      </c>
      <c r="B74">
        <v>1</v>
      </c>
      <c r="C74" s="1">
        <f t="shared" si="6"/>
        <v>49003</v>
      </c>
      <c r="D74" s="6">
        <f t="shared" si="7"/>
        <v>0.69999999999999973</v>
      </c>
      <c r="E74" s="1">
        <v>46053</v>
      </c>
      <c r="F74" s="2">
        <f t="shared" si="4"/>
        <v>0.64657534246575343</v>
      </c>
      <c r="G74" t="s">
        <v>20</v>
      </c>
    </row>
    <row r="75" spans="1:7">
      <c r="A75" s="1">
        <f t="shared" si="5"/>
        <v>46080</v>
      </c>
      <c r="B75">
        <v>1</v>
      </c>
      <c r="C75" s="1">
        <f t="shared" si="6"/>
        <v>49034</v>
      </c>
      <c r="D75" s="6">
        <f t="shared" si="7"/>
        <v>0.69999999999999973</v>
      </c>
      <c r="E75" s="1">
        <v>46053</v>
      </c>
      <c r="F75" s="2">
        <f t="shared" si="4"/>
        <v>0.6533698630136987</v>
      </c>
      <c r="G75" t="s">
        <v>20</v>
      </c>
    </row>
    <row r="76" spans="1:7">
      <c r="A76" s="1">
        <f t="shared" si="5"/>
        <v>46080</v>
      </c>
      <c r="B76">
        <v>1</v>
      </c>
      <c r="C76" s="1">
        <f t="shared" si="6"/>
        <v>49064</v>
      </c>
      <c r="D76" s="6">
        <f t="shared" si="7"/>
        <v>0.69999999999999973</v>
      </c>
      <c r="E76" s="1">
        <v>46053</v>
      </c>
      <c r="F76" s="2">
        <f t="shared" si="4"/>
        <v>0.65994520547945201</v>
      </c>
      <c r="G76" t="s">
        <v>20</v>
      </c>
    </row>
    <row r="77" spans="1:7">
      <c r="A77" s="1">
        <f t="shared" si="5"/>
        <v>46080</v>
      </c>
      <c r="B77">
        <v>1</v>
      </c>
      <c r="C77" s="1">
        <f t="shared" si="6"/>
        <v>49095</v>
      </c>
      <c r="D77" s="6">
        <f t="shared" si="7"/>
        <v>0.69999999999999973</v>
      </c>
      <c r="E77" s="1">
        <v>46053</v>
      </c>
      <c r="F77" s="2">
        <f t="shared" si="4"/>
        <v>0.66673972602739728</v>
      </c>
      <c r="G77" t="s">
        <v>20</v>
      </c>
    </row>
    <row r="78" spans="1:7">
      <c r="A78" s="1">
        <f t="shared" si="5"/>
        <v>46080</v>
      </c>
      <c r="B78">
        <v>1</v>
      </c>
      <c r="C78" s="1">
        <f t="shared" si="6"/>
        <v>49125</v>
      </c>
      <c r="D78" s="6">
        <f t="shared" si="7"/>
        <v>0.69999999999999973</v>
      </c>
      <c r="E78" s="1">
        <v>46053</v>
      </c>
      <c r="F78" s="2">
        <f t="shared" si="4"/>
        <v>0.6733150684931507</v>
      </c>
      <c r="G78" t="s">
        <v>20</v>
      </c>
    </row>
    <row r="79" spans="1:7">
      <c r="A79" s="1">
        <f t="shared" si="5"/>
        <v>46080</v>
      </c>
      <c r="B79">
        <v>1</v>
      </c>
      <c r="C79" s="1">
        <f t="shared" si="6"/>
        <v>49156</v>
      </c>
      <c r="D79" s="6">
        <f t="shared" si="7"/>
        <v>0.69999999999999973</v>
      </c>
      <c r="E79" s="1">
        <v>46053</v>
      </c>
      <c r="F79" s="2">
        <f t="shared" si="4"/>
        <v>0.68010958904109586</v>
      </c>
      <c r="G79" t="s">
        <v>20</v>
      </c>
    </row>
    <row r="80" spans="1:7">
      <c r="A80" s="1">
        <f t="shared" si="5"/>
        <v>46080</v>
      </c>
      <c r="B80">
        <v>1</v>
      </c>
      <c r="C80" s="1">
        <f t="shared" si="6"/>
        <v>49187</v>
      </c>
      <c r="D80" s="6">
        <f t="shared" si="7"/>
        <v>0.69999999999999973</v>
      </c>
      <c r="E80" s="1">
        <v>46053</v>
      </c>
      <c r="F80" s="2">
        <f t="shared" si="4"/>
        <v>0.68690410958904113</v>
      </c>
      <c r="G80" t="s">
        <v>20</v>
      </c>
    </row>
    <row r="81" spans="1:7">
      <c r="A81" s="1">
        <f t="shared" si="5"/>
        <v>46080</v>
      </c>
      <c r="B81">
        <v>1</v>
      </c>
      <c r="C81" s="1">
        <f t="shared" si="6"/>
        <v>49217</v>
      </c>
      <c r="D81" s="6">
        <f t="shared" si="7"/>
        <v>0.69999999999999973</v>
      </c>
      <c r="E81" s="1">
        <v>46053</v>
      </c>
      <c r="F81" s="2">
        <f t="shared" si="4"/>
        <v>0.69347945205479455</v>
      </c>
      <c r="G81" t="s">
        <v>20</v>
      </c>
    </row>
    <row r="82" spans="1:7">
      <c r="A82" s="1">
        <f t="shared" si="5"/>
        <v>46080</v>
      </c>
      <c r="B82">
        <v>1</v>
      </c>
      <c r="C82" s="1">
        <f t="shared" si="6"/>
        <v>49248</v>
      </c>
      <c r="D82" s="6">
        <f t="shared" si="7"/>
        <v>0.69999999999999973</v>
      </c>
      <c r="E82" s="1">
        <v>46053</v>
      </c>
      <c r="F82" s="2">
        <f t="shared" si="4"/>
        <v>0.70027397260273971</v>
      </c>
      <c r="G82" t="s">
        <v>20</v>
      </c>
    </row>
    <row r="83" spans="1:7">
      <c r="A83" s="1">
        <f t="shared" si="5"/>
        <v>46080</v>
      </c>
      <c r="B83">
        <v>1</v>
      </c>
      <c r="C83" s="1">
        <f t="shared" si="6"/>
        <v>49278</v>
      </c>
      <c r="D83" s="6">
        <f t="shared" si="7"/>
        <v>0.69999999999999973</v>
      </c>
      <c r="E83" s="1">
        <v>46053</v>
      </c>
      <c r="F83" s="2">
        <f t="shared" si="4"/>
        <v>0.70684931506849313</v>
      </c>
      <c r="G83" t="s">
        <v>20</v>
      </c>
    </row>
    <row r="84" spans="1:7">
      <c r="A84" s="1">
        <f t="shared" si="5"/>
        <v>46080</v>
      </c>
      <c r="B84">
        <v>1</v>
      </c>
      <c r="C84" s="1">
        <f t="shared" si="6"/>
        <v>49309</v>
      </c>
      <c r="D84" s="6">
        <f t="shared" si="7"/>
        <v>0.69999999999999973</v>
      </c>
      <c r="E84" s="1">
        <v>46053</v>
      </c>
      <c r="F84" s="2">
        <f t="shared" si="4"/>
        <v>0.7136438356164384</v>
      </c>
      <c r="G84" t="s">
        <v>20</v>
      </c>
    </row>
    <row r="85" spans="1:7">
      <c r="A85" s="1">
        <f t="shared" si="5"/>
        <v>46080</v>
      </c>
      <c r="B85">
        <v>1</v>
      </c>
      <c r="C85" s="1">
        <f t="shared" si="6"/>
        <v>49340</v>
      </c>
      <c r="D85" s="6">
        <f t="shared" si="7"/>
        <v>0.69999999999999973</v>
      </c>
      <c r="E85" s="1">
        <v>46053</v>
      </c>
      <c r="F85" s="2">
        <f t="shared" si="4"/>
        <v>0.72043835616438345</v>
      </c>
      <c r="G85" t="s">
        <v>20</v>
      </c>
    </row>
    <row r="86" spans="1:7">
      <c r="A86" s="1">
        <f t="shared" si="5"/>
        <v>46080</v>
      </c>
      <c r="B86">
        <v>1</v>
      </c>
      <c r="C86" s="1">
        <f t="shared" si="6"/>
        <v>49368</v>
      </c>
      <c r="D86" s="6">
        <f t="shared" si="7"/>
        <v>0.64999999999999969</v>
      </c>
      <c r="E86" s="1">
        <v>46053</v>
      </c>
      <c r="F86" s="2">
        <f t="shared" si="4"/>
        <v>0.72657534246575339</v>
      </c>
      <c r="G86" t="s">
        <v>20</v>
      </c>
    </row>
    <row r="87" spans="1:7">
      <c r="A87" s="1">
        <f t="shared" si="5"/>
        <v>46080</v>
      </c>
      <c r="B87">
        <v>1</v>
      </c>
      <c r="C87" s="1">
        <f t="shared" si="6"/>
        <v>49399</v>
      </c>
      <c r="D87" s="6">
        <f t="shared" si="7"/>
        <v>0.64999999999999969</v>
      </c>
      <c r="E87" s="1">
        <v>46053</v>
      </c>
      <c r="F87" s="2">
        <f t="shared" si="4"/>
        <v>0.73336986301369866</v>
      </c>
      <c r="G87" t="s">
        <v>20</v>
      </c>
    </row>
    <row r="88" spans="1:7">
      <c r="A88" s="1">
        <f t="shared" si="5"/>
        <v>46080</v>
      </c>
      <c r="B88">
        <v>1</v>
      </c>
      <c r="C88" s="1">
        <f t="shared" si="6"/>
        <v>49429</v>
      </c>
      <c r="D88" s="6">
        <f t="shared" si="7"/>
        <v>0.64999999999999969</v>
      </c>
      <c r="E88" s="1">
        <v>46053</v>
      </c>
      <c r="F88" s="2">
        <f t="shared" si="4"/>
        <v>0.73994520547945197</v>
      </c>
      <c r="G88" t="s">
        <v>20</v>
      </c>
    </row>
    <row r="89" spans="1:7">
      <c r="A89" s="1">
        <f t="shared" si="5"/>
        <v>46080</v>
      </c>
      <c r="B89">
        <v>1</v>
      </c>
      <c r="C89" s="1">
        <f t="shared" si="6"/>
        <v>49460</v>
      </c>
      <c r="D89" s="6">
        <f t="shared" si="7"/>
        <v>0.64999999999999969</v>
      </c>
      <c r="E89" s="1">
        <v>46053</v>
      </c>
      <c r="F89" s="2">
        <f t="shared" si="4"/>
        <v>0.74673972602739724</v>
      </c>
      <c r="G89" t="s">
        <v>20</v>
      </c>
    </row>
    <row r="90" spans="1:7">
      <c r="A90" s="1">
        <f t="shared" si="5"/>
        <v>46080</v>
      </c>
      <c r="B90">
        <v>1</v>
      </c>
      <c r="C90" s="1">
        <f t="shared" si="6"/>
        <v>49490</v>
      </c>
      <c r="D90" s="6">
        <f t="shared" si="7"/>
        <v>0.64999999999999969</v>
      </c>
      <c r="E90" s="1">
        <v>46053</v>
      </c>
      <c r="F90" s="2">
        <f t="shared" si="4"/>
        <v>0.75331506849315066</v>
      </c>
      <c r="G90" t="s">
        <v>20</v>
      </c>
    </row>
    <row r="91" spans="1:7">
      <c r="A91" s="1">
        <f t="shared" si="5"/>
        <v>46080</v>
      </c>
      <c r="B91">
        <v>1</v>
      </c>
      <c r="C91" s="1">
        <f t="shared" si="6"/>
        <v>49521</v>
      </c>
      <c r="D91" s="6">
        <f t="shared" si="7"/>
        <v>0.64999999999999969</v>
      </c>
      <c r="E91" s="1">
        <v>46053</v>
      </c>
      <c r="F91" s="2">
        <f t="shared" si="4"/>
        <v>0.76010958904109593</v>
      </c>
      <c r="G91" t="s">
        <v>20</v>
      </c>
    </row>
    <row r="92" spans="1:7">
      <c r="A92" s="1">
        <f t="shared" si="5"/>
        <v>46080</v>
      </c>
      <c r="B92">
        <v>1</v>
      </c>
      <c r="C92" s="1">
        <f t="shared" si="6"/>
        <v>49552</v>
      </c>
      <c r="D92" s="6">
        <f t="shared" si="7"/>
        <v>0.64999999999999969</v>
      </c>
      <c r="E92" s="1">
        <v>46053</v>
      </c>
      <c r="F92" s="2">
        <f t="shared" si="4"/>
        <v>0.76690410958904109</v>
      </c>
      <c r="G92" t="s">
        <v>20</v>
      </c>
    </row>
    <row r="93" spans="1:7">
      <c r="A93" s="1">
        <f t="shared" si="5"/>
        <v>46080</v>
      </c>
      <c r="B93">
        <v>1</v>
      </c>
      <c r="C93" s="1">
        <f t="shared" si="6"/>
        <v>49582</v>
      </c>
      <c r="D93" s="6">
        <f t="shared" si="7"/>
        <v>0.64999999999999969</v>
      </c>
      <c r="E93" s="1">
        <v>46053</v>
      </c>
      <c r="F93" s="2">
        <f t="shared" si="4"/>
        <v>0.77347945205479451</v>
      </c>
      <c r="G93" t="s">
        <v>20</v>
      </c>
    </row>
    <row r="94" spans="1:7">
      <c r="A94" s="1">
        <f t="shared" si="5"/>
        <v>46080</v>
      </c>
      <c r="B94">
        <v>1</v>
      </c>
      <c r="C94" s="1">
        <f t="shared" si="6"/>
        <v>49613</v>
      </c>
      <c r="D94" s="6">
        <f t="shared" si="7"/>
        <v>0.64999999999999969</v>
      </c>
      <c r="E94" s="1">
        <v>46053</v>
      </c>
      <c r="F94" s="2">
        <f t="shared" si="4"/>
        <v>0.78027397260273978</v>
      </c>
      <c r="G94" t="s">
        <v>20</v>
      </c>
    </row>
    <row r="95" spans="1:7">
      <c r="A95" s="1">
        <f t="shared" si="5"/>
        <v>46080</v>
      </c>
      <c r="B95">
        <v>1</v>
      </c>
      <c r="C95" s="1">
        <f t="shared" si="6"/>
        <v>49643</v>
      </c>
      <c r="D95" s="6">
        <f t="shared" si="7"/>
        <v>0.64999999999999969</v>
      </c>
      <c r="E95" s="1">
        <v>46053</v>
      </c>
      <c r="F95" s="2">
        <f t="shared" si="4"/>
        <v>0.78684931506849309</v>
      </c>
      <c r="G95" t="s">
        <v>20</v>
      </c>
    </row>
    <row r="96" spans="1:7">
      <c r="A96" s="1">
        <f t="shared" si="5"/>
        <v>46080</v>
      </c>
      <c r="B96">
        <v>1</v>
      </c>
      <c r="C96" s="1">
        <f t="shared" si="6"/>
        <v>49674</v>
      </c>
      <c r="D96" s="6">
        <f t="shared" si="7"/>
        <v>0.64999999999999969</v>
      </c>
      <c r="E96" s="1">
        <v>46053</v>
      </c>
      <c r="F96" s="2">
        <f t="shared" si="4"/>
        <v>0.79364383561643836</v>
      </c>
      <c r="G96" t="s">
        <v>20</v>
      </c>
    </row>
    <row r="97" spans="1:7">
      <c r="A97" s="1">
        <f t="shared" si="5"/>
        <v>46080</v>
      </c>
      <c r="B97">
        <v>1</v>
      </c>
      <c r="C97" s="1">
        <f t="shared" si="6"/>
        <v>49705</v>
      </c>
      <c r="D97" s="6">
        <f t="shared" si="7"/>
        <v>0.64999999999999969</v>
      </c>
      <c r="E97" s="1">
        <v>46053</v>
      </c>
      <c r="F97" s="2">
        <f t="shared" si="4"/>
        <v>0.80043835616438364</v>
      </c>
      <c r="G97" t="s">
        <v>20</v>
      </c>
    </row>
    <row r="98" spans="1:7">
      <c r="C98" s="1"/>
    </row>
    <row r="99" spans="1:7">
      <c r="C99" s="1"/>
    </row>
    <row r="100" spans="1:7">
      <c r="C10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83EB-8985-4D74-9783-BF1FE2D4575A}">
  <dimension ref="A1:J5"/>
  <sheetViews>
    <sheetView tabSelected="1" workbookViewId="0">
      <selection sqref="A1:J5"/>
    </sheetView>
  </sheetViews>
  <sheetFormatPr defaultRowHeight="14.45"/>
  <cols>
    <col min="1" max="1" width="16.85546875" customWidth="1"/>
    <col min="2" max="2" width="18.42578125" customWidth="1"/>
    <col min="3" max="3" width="15.85546875" customWidth="1"/>
    <col min="4" max="4" width="12.5703125" customWidth="1"/>
    <col min="5" max="5" width="24.42578125" bestFit="1" customWidth="1"/>
    <col min="6" max="6" width="12.42578125" customWidth="1"/>
    <col min="7" max="7" width="10.140625" bestFit="1" customWidth="1"/>
    <col min="8" max="8" width="10.7109375" customWidth="1"/>
    <col min="10" max="10" width="10.7109375" customWidth="1"/>
  </cols>
  <sheetData>
    <row r="1" spans="1:10">
      <c r="A1" t="s">
        <v>33</v>
      </c>
      <c r="B1" t="s">
        <v>34</v>
      </c>
      <c r="C1" t="s">
        <v>12</v>
      </c>
      <c r="D1" t="s">
        <v>13</v>
      </c>
      <c r="E1" t="s">
        <v>35</v>
      </c>
      <c r="F1" t="s">
        <v>36</v>
      </c>
      <c r="G1" t="s">
        <v>2</v>
      </c>
      <c r="H1" t="s">
        <v>37</v>
      </c>
      <c r="I1" t="s">
        <v>38</v>
      </c>
      <c r="J1" t="s">
        <v>39</v>
      </c>
    </row>
    <row r="2" spans="1:10">
      <c r="A2" s="1">
        <f>Table3[[#This Row],[Date Valorisation]]</f>
        <v>46080</v>
      </c>
      <c r="B2">
        <v>1100</v>
      </c>
      <c r="C2">
        <v>100</v>
      </c>
      <c r="D2" t="s">
        <v>20</v>
      </c>
      <c r="E2" s="2">
        <v>1</v>
      </c>
      <c r="F2" t="s">
        <v>40</v>
      </c>
      <c r="G2" s="1">
        <v>47118</v>
      </c>
    </row>
    <row r="3" spans="1:10">
      <c r="A3" s="1">
        <f>Table3[[#This Row],[Date Valorisation]]</f>
        <v>46080</v>
      </c>
      <c r="B3">
        <v>1130</v>
      </c>
      <c r="C3">
        <v>100</v>
      </c>
      <c r="D3" t="s">
        <v>20</v>
      </c>
      <c r="E3" s="2">
        <v>1</v>
      </c>
      <c r="F3" t="s">
        <v>40</v>
      </c>
      <c r="G3" s="1">
        <v>46752</v>
      </c>
      <c r="H3">
        <v>280</v>
      </c>
    </row>
    <row r="4" spans="1:10">
      <c r="A4" s="1">
        <f>Table3[[#This Row],[Date Valorisation]]</f>
        <v>46080</v>
      </c>
      <c r="B4">
        <v>1220</v>
      </c>
      <c r="C4">
        <v>100</v>
      </c>
      <c r="D4" t="s">
        <v>20</v>
      </c>
      <c r="F4" t="s">
        <v>40</v>
      </c>
      <c r="G4" s="1">
        <v>46387</v>
      </c>
      <c r="I4">
        <v>280</v>
      </c>
    </row>
    <row r="5" spans="1:10">
      <c r="A5" s="1">
        <f>Table3[[#This Row],[Date Valorisation]]</f>
        <v>46080</v>
      </c>
      <c r="B5">
        <v>1320</v>
      </c>
      <c r="C5">
        <v>100</v>
      </c>
      <c r="D5" t="s">
        <v>20</v>
      </c>
      <c r="F5" t="s">
        <v>40</v>
      </c>
      <c r="G5" s="1">
        <v>46387</v>
      </c>
      <c r="H5">
        <v>220</v>
      </c>
      <c r="J5"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Laurent DAVOUST</dc:creator>
  <cp:keywords/>
  <dc:description/>
  <cp:lastModifiedBy/>
  <cp:revision/>
  <dcterms:created xsi:type="dcterms:W3CDTF">2026-03-05T14:15:21Z</dcterms:created>
  <dcterms:modified xsi:type="dcterms:W3CDTF">2026-04-01T08:44:28Z</dcterms:modified>
  <cp:category/>
  <cp:contentStatus/>
</cp:coreProperties>
</file>